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c10665c99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填写说明" sheetId="1" r:id="R088e6d89fd1a4128"/>
    <x:sheet xmlns:r="http://schemas.openxmlformats.org/officeDocument/2006/relationships" name="02_项目与提交清单" sheetId="2" r:id="Re1cbc8643ea74e2e"/>
    <x:sheet xmlns:r="http://schemas.openxmlformats.org/officeDocument/2006/relationships" name="03_技术参数采集" sheetId="3" r:id="R8207ebe2b94a4420"/>
    <x:sheet xmlns:r="http://schemas.openxmlformats.org/officeDocument/2006/relationships" name="04_归类参考" sheetId="4" r:id="R0157cb2ce4d4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i/>
      <x:sz val="11"/>
      <x:color rgb="FF7F6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3F5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EF7E8"/>
      </x:patternFill>
    </x:fill>
    <x:fill>
      <x:patternFill patternType="solid">
        <x:fgColor rgb="FFFFF8E6"/>
      </x:patternFill>
    </x:fill>
  </x:fills>
  <x:borders count="12">
    <x:border/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bottom style="thin">
        <x:color rgb="FFC8D0D9"/>
      </x:bottom>
    </x:border>
    <x:border>
      <x:top style="thin">
        <x:color rgb="FFC8D0D9"/>
      </x:top>
      <x:bottom style="thin">
        <x:color rgb="FFC8D0D9"/>
      </x:bottom>
    </x:border>
    <x:border>
      <x:top style="thin">
        <x:color rgb="FFC8D0D9"/>
      </x:top>
    </x:border>
    <x:border>
      <x:right style="thin">
        <x:color rgb="FFC8D0D9"/>
      </x:right>
    </x:border>
    <x:border>
      <x:left style="thin">
        <x:color rgb="FFC8D0D9"/>
      </x:left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200" fontId="0" fillId="5" borderId="2" xfId="0" applyNumberFormat="1" applyFont="1" applyFill="1" applyBorder="1"/>
    <x:xf numFmtId="200" fontId="0" fillId="5" borderId="3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9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5" borderId="4" xfId="0" applyNumberFormat="1" applyFont="1" applyFill="1" applyBorder="1"/>
    <x:xf numFmtId="0" fontId="0" fillId="0" borderId="4" xfId="0" applyNumberFormat="1" applyFont="1" applyFill="1" applyBorder="1"/>
    <x:xf numFmtId="0" fontId="0" fillId="10" borderId="4" xfId="0" applyNumberFormat="1" applyFont="1" applyFill="1" applyBorder="1"/>
    <x:xf numFmtId="0" fontId="0" fillId="11" borderId="4" xfId="0" applyNumberFormat="1" applyFont="1" applyFill="1" applyBorder="1"/>
    <x:xf numFmtId="0" fontId="0" fillId="4" borderId="5" xfId="0" applyNumberFormat="1" applyFont="1" applyFill="1" applyBorder="1"/>
    <x:xf numFmtId="0" fontId="0" fillId="0" borderId="5" xfId="0" applyNumberFormat="1" applyFont="1" applyFill="1" applyBorder="1"/>
    <x:xf numFmtId="0" fontId="0" fillId="9" borderId="5" xfId="0" applyNumberFormat="1" applyFont="1" applyFill="1" applyBorder="1"/>
    <x:xf numFmtId="0" fontId="0" fillId="0" borderId="6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7" xfId="0" applyNumberFormat="1" applyFont="1" applyFill="1" applyBorder="1"/>
    <x:xf numFmtId="0" fontId="7" fillId="3" borderId="2" xfId="0" applyNumberFormat="1" applyFont="1" applyFill="1" applyBorder="1"/>
    <x:xf numFmtId="0" fontId="7" fillId="3" borderId="8" xfId="0" applyNumberFormat="1" applyFont="1" applyFill="1" applyBorder="1"/>
    <x:xf numFmtId="0" fontId="7" fillId="3" borderId="7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200" fontId="7" fillId="5" borderId="2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10" xfId="0" applyNumberFormat="1" applyFont="1" applyFill="1" applyBorder="1"/>
    <x:xf numFmtId="201" fontId="5" fillId="12" borderId="10" xfId="0" applyNumberFormat="1" applyFont="1" applyFill="1" applyBorder="1"/>
    <x:xf numFmtId="0" fontId="8" fillId="8" borderId="0" xfId="0" applyNumberFormat="1" applyFont="1" applyFill="1" applyBorder="1"/>
    <x:xf numFmtId="0" fontId="8" fillId="8" borderId="11" xfId="0" applyNumberFormat="1" applyFont="1" applyFill="1" applyBorder="1"/>
    <x:xf numFmtId="0" fontId="8" fillId="8" borderId="11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201" fontId="9" fillId="7" borderId="4" xfId="0" applyNumberFormat="1" applyFont="1" applyFill="1" applyBorder="1" applyAlignment="1">
      <x:alignment vertical="center" wrapText="1"/>
    </x:xf>
    <x:xf numFmtId="201" fontId="9" fillId="7" borderId="5" xfId="0" applyNumberFormat="1" applyFont="1" applyFill="1" applyBorder="1" applyAlignment="1">
      <x:alignment vertical="center" wrapText="1"/>
    </x:xf>
    <x:xf numFmtId="200" fontId="9" fillId="5" borderId="4" xfId="0" applyNumberFormat="1" applyFont="1" applyFill="1" applyBorder="1" applyAlignment="1">
      <x:alignment vertical="center" wrapText="1"/>
    </x:xf>
    <x:xf numFmtId="200" fontId="9" fillId="5" borderId="5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202" fontId="9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262c4ce1444e5" /><Relationship Type="http://schemas.openxmlformats.org/officeDocument/2006/relationships/theme" Target="/xl/theme/theme1.xml" Id="R534b4b5889654986" /><Relationship Type="http://schemas.openxmlformats.org/officeDocument/2006/relationships/sharedStrings" Target="/xl/sharedStrings.xml" Id="R5094ea1fcf554b32" /><Relationship Type="http://schemas.openxmlformats.org/officeDocument/2006/relationships/worksheet" Target="/xl/worksheets/sheet1.xml" Id="R088e6d89fd1a4128" /><Relationship Type="http://schemas.openxmlformats.org/officeDocument/2006/relationships/worksheet" Target="/xl/worksheets/sheet2.xml" Id="Re1cbc8643ea74e2e" /><Relationship Type="http://schemas.openxmlformats.org/officeDocument/2006/relationships/worksheet" Target="/xl/worksheets/sheet3.xml" Id="R8207ebe2b94a4420" /><Relationship Type="http://schemas.openxmlformats.org/officeDocument/2006/relationships/worksheet" Target="/xl/worksheets/sheet4.xml" Id="R0157cb2ce4d44696" /></Relationships>
</file>

<file path=xl/tables/table1.xml><?xml version="1.0" encoding="utf-8"?>
<x:table xmlns:x="http://schemas.openxmlformats.org/spreadsheetml/2006/main" id="1" name="CCUSubmissionChecklist" displayName="CCUSubmissionChecklist" ref="A5:O14" headerRowCount="1" totalsRowCount="0" totalsRowShown="0">
  <x:autoFilter ref="A5:O14"/>
  <x:tableColumns count="15">
    <x:tableColumn id="1" name="CCU代码"/>
    <x:tableColumn id="2" name="CCU中文名"/>
    <x:tableColumn id="3" name="建议牵头部门"/>
    <x:tableColumn id="4" name="必填参数数"/>
    <x:tableColumn id="5" name="已填必填数"/>
    <x:tableColumn id="6" name="完成率"/>
    <x:tableColumn id="7" name="当前PDK完整税号/候选"/>
    <x:tableColumn id="8" name="MFN"/>
    <x:tableColumn id="9" name="页面SST"/>
    <x:tableColumn id="10" name="当前结论"/>
    <x:tableColumn id="11" name="主要阻塞项"/>
    <x:tableColumn id="12" name="审核状态"/>
    <x:tableColumn id="13" name="责任人"/>
    <x:tableColumn id="14" name="截止日期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CUTechnicalInputs" displayName="CCUTechnicalInputs" ref="A5:S88" headerRowCount="1" totalsRowCount="0" totalsRowShown="0">
  <x:autoFilter ref="A5:S88"/>
  <x:tableColumns count="19">
    <x:tableColumn id="1" name="参数记录ID"/>
    <x:tableColumn id="2" name="CCU代码"/>
    <x:tableColumn id="3" name="CCU中文名"/>
    <x:tableColumn id="4" name="参数代码"/>
    <x:tableColumn id="5" name="参数中文名称"/>
    <x:tableColumn id="6" name="必填"/>
    <x:tableColumn id="7" name="数据类型"/>
    <x:tableColumn id="8" name="单位/格式"/>
    <x:tableColumn id="9" name="默认/建议值"/>
    <x:tableColumn id="10" name="可选值或填写说明"/>
    <x:tableColumn id="11" name="企业填报值"/>
    <x:tableColumn id="12" name="证据文件/图纸编号"/>
    <x:tableColumn id="13" name="数据责任部门"/>
    <x:tableColumn id="14" name="填报人"/>
    <x:tableColumn id="15" name="填报日期"/>
    <x:tableColumn id="16" name="审核状态"/>
    <x:tableColumn id="17" name="审核意见/备注"/>
    <x:tableColumn id="18" name="归类影响"/>
    <x:tableColumn id="19" name="来源定位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CCUClassificationReference" displayName="CCUClassificationReference" ref="A4:M13" headerRowCount="1" totalsRowCount="0" totalsRowShown="0">
  <x:autoFilter ref="A4:M13"/>
  <x:tableColumns count="13">
    <x:tableColumn id="1" name="CCU代码"/>
    <x:tableColumn id="2" name="CCU中文名"/>
    <x:tableColumn id="3" name="HS6"/>
    <x:tableColumn id="4" name="有效完整税号/候选"/>
    <x:tableColumn id="5" name="条件选择规则"/>
    <x:tableColumn id="6" name="已排除税号/原因"/>
    <x:tableColumn id="7" name="MFN"/>
    <x:tableColumn id="8" name="页面SST"/>
    <x:tableColumn id="9" name="进口监管首轮结果"/>
    <x:tableColumn id="10" name="映射状态"/>
    <x:tableColumn id="11" name="官方定位"/>
    <x:tableColumn id="12" name="官方URL"/>
    <x:tableColumn id="13" name="风险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4c7755d3e340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05932c987941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e89dba18d541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5" hidden="0" customWidth="1"/>
    <x:col min="3" max="3" width="13" hidden="0" customWidth="1"/>
    <x:col min="4" max="4" width="12" hidden="0" customWidth="1"/>
    <x:col min="5" max="5" width="18" hidden="0" customWidth="1"/>
    <x:col min="6" max="6" width="13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马来西亚KD首批9个CCU - 企业技术参数采集模板</x:v>
      </x:c>
      <x:c r="B1" s="4" t="str">
        <x:v>马来西亚KD首批9个CCU - 企业技术参数采集模板</x:v>
      </x:c>
      <x:c r="C1" s="4" t="str">
        <x:v>马来西亚KD首批9个CCU - 企业技术参数采集模板</x:v>
      </x:c>
      <x:c r="D1" s="4" t="str">
        <x:v>马来西亚KD首批9个CCU - 企业技术参数采集模板</x:v>
      </x:c>
      <x:c r="E1" s="4" t="str">
        <x:v>马来西亚KD首批9个CCU - 企业技术参数采集模板</x:v>
      </x:c>
      <x:c r="F1" s="4" t="str">
        <x:v>马来西亚KD首批9个CCU - 企业技术参数采集模板</x:v>
      </x:c>
      <x:c r="G1" s="4" t="str">
        <x:v>马来西亚KD首批9个CCU - 企业技术参数采集模板</x:v>
      </x:c>
      <x:c r="H1" s="4" t="str">
        <x:v>马来西亚KD首批9个CCU - 企业技术参数采集模板</x:v>
      </x:c>
    </x:row>
    <x:row r="2" ht="38" customHeight="1">
      <x:c r="A2" s="8" t="str">
        <x:v>用途：企业只填写可证实的技术事实与证据文件，不直接填写最终HS税号。关务依据条件映射和官方证据完成归类审核。</x:v>
      </x:c>
      <x:c r="B2" s="8" t="str">
        <x:v>用途：企业只填写可证实的技术事实与证据文件，不直接填写最终HS税号。关务依据条件映射和官方证据完成归类审核。</x:v>
      </x:c>
      <x:c r="C2" s="8" t="str">
        <x:v>用途：企业只填写可证实的技术事实与证据文件，不直接填写最终HS税号。关务依据条件映射和官方证据完成归类审核。</x:v>
      </x:c>
      <x:c r="D2" s="8" t="str">
        <x:v>用途：企业只填写可证实的技术事实与证据文件，不直接填写最终HS税号。关务依据条件映射和官方证据完成归类审核。</x:v>
      </x:c>
      <x:c r="E2" s="8" t="str">
        <x:v>用途：企业只填写可证实的技术事实与证据文件，不直接填写最终HS税号。关务依据条件映射和官方证据完成归类审核。</x:v>
      </x:c>
      <x:c r="F2" s="8" t="str">
        <x:v>用途：企业只填写可证实的技术事实与证据文件，不直接填写最终HS税号。关务依据条件映射和官方证据完成归类审核。</x:v>
      </x:c>
      <x:c r="G2" s="8" t="str">
        <x:v>用途：企业只填写可证实的技术事实与证据文件，不直接填写最终HS税号。关务依据条件映射和官方证据完成归类审核。</x:v>
      </x:c>
      <x:c r="H2" s="8" t="str">
        <x:v>用途：企业只填写可证实的技术事实与证据文件，不直接填写最终HS税号。关务依据条件映射和官方证据完成归类审核。</x:v>
      </x:c>
    </x:row>
    <x:row r="4">
      <x:c r="A4" s="10" t="str">
        <x:v>模板版本</x:v>
      </x:c>
      <x:c r="B4" s="12" t="str">
        <x:v>v1.0</x:v>
      </x:c>
      <x:c r="D4" s="18" t="str">
        <x:v>填写流程</x:v>
      </x:c>
      <x:c r="E4" s="18" t="str">
        <x:v>填写流程</x:v>
      </x:c>
      <x:c r="F4" s="18" t="str">
        <x:v>填写流程</x:v>
      </x:c>
      <x:c r="G4" s="18" t="str">
        <x:v>填写流程</x:v>
      </x:c>
      <x:c r="H4" s="18" t="str">
        <x:v>填写流程</x:v>
      </x:c>
    </x:row>
    <x:row r="5" ht="42" customHeight="1">
      <x:c r="A5" s="10" t="str">
        <x:v>适用国家/税则</x:v>
      </x:c>
      <x:c r="B5" s="13" t="str">
        <x:v>Malaysia / PDK 2025</x:v>
      </x:c>
      <x:c r="D5" s="23" t="str">
        <x:v>1</x:v>
      </x:c>
      <x:c r="E5" s="23" t="str">
        <x:v>项目管理</x:v>
      </x:c>
      <x:c r="F5" s="23" t="str">
        <x:v>填写项目/车型、负责人和截止日期</x:v>
      </x:c>
      <x:c r="G5" s="23" t="str"/>
      <x:c r="H5" s="23" t="str"/>
    </x:row>
    <x:row r="6" ht="42" customHeight="1">
      <x:c r="A6" s="10" t="str">
        <x:v>税则生效日</x:v>
      </x:c>
      <x:c r="B6" s="15" t="n">
        <x:v>45962</x:v>
      </x:c>
      <x:c r="D6" s="24" t="str">
        <x:v>2</x:v>
      </x:c>
      <x:c r="E6" s="24" t="str">
        <x:v>专业工程</x:v>
      </x:c>
      <x:c r="F6" s="24" t="str">
        <x:v>在“03_技术参数采集”黄色区域填写技术事实</x:v>
      </x:c>
      <x:c r="G6" s="24" t="str"/>
      <x:c r="H6" s="24" t="str"/>
    </x:row>
    <x:row r="7" ht="42" customHeight="1">
      <x:c r="A7" s="10" t="str">
        <x:v>本次核验日</x:v>
      </x:c>
      <x:c r="B7" s="15" t="n">
        <x:v>46231</x:v>
      </x:c>
      <x:c r="D7" s="24" t="str">
        <x:v>3</x:v>
      </x:c>
      <x:c r="E7" s="24" t="str">
        <x:v>工程+采购</x:v>
      </x:c>
      <x:c r="F7" s="24" t="str">
        <x:v>上传规格书、图纸、BOM、照片和铭牌证据</x:v>
      </x:c>
      <x:c r="G7" s="24" t="str"/>
      <x:c r="H7" s="24" t="str"/>
    </x:row>
    <x:row r="8" ht="42" customHeight="1">
      <x:c r="A8" s="10" t="str">
        <x:v>企业填报截止日</x:v>
      </x:c>
      <x:c r="B8" s="16"/>
      <x:c r="D8" s="24" t="str">
        <x:v>4</x:v>
      </x:c>
      <x:c r="E8" s="24" t="str">
        <x:v>关务/法规</x:v>
      </x:c>
      <x:c r="F8" s="24" t="str">
        <x:v>审核条件映射、监管范围和GRI 2(a)风险</x:v>
      </x:c>
      <x:c r="G8" s="24" t="str"/>
      <x:c r="H8" s="24" t="str"/>
    </x:row>
    <x:row r="9" ht="42" customHeight="1">
      <x:c r="D9" s="25" t="str">
        <x:v>5</x:v>
      </x:c>
      <x:c r="E9" s="25" t="str">
        <x:v>关务负责人</x:v>
      </x:c>
      <x:c r="F9" s="25" t="str">
        <x:v>批准最终税号或发起预裁定/主管机关确认</x:v>
      </x:c>
      <x:c r="G9" s="25" t="str"/>
      <x:c r="H9" s="25" t="str"/>
    </x:row>
    <x:row r="11">
      <x:c r="A11" s="27" t="str">
        <x:v>填写规则</x:v>
      </x:c>
      <x:c r="B11" s="27" t="str">
        <x:v>填写规则</x:v>
      </x:c>
      <x:c r="C11" s="27" t="str">
        <x:v>填写规则</x:v>
      </x:c>
      <x:c r="D11" s="27" t="str">
        <x:v>填写规则</x:v>
      </x:c>
      <x:c r="E11" s="27" t="str">
        <x:v>填写规则</x:v>
      </x:c>
      <x:c r="F11" s="27" t="str">
        <x:v>填写规则</x:v>
      </x:c>
      <x:c r="G11" s="27" t="str">
        <x:v>填写规则</x:v>
      </x:c>
      <x:c r="H11" s="27" t="str">
        <x:v>填写规则</x:v>
      </x:c>
    </x:row>
    <x:row r="12">
      <x:c r="A12" s="32" t="str">
        <x:v>必须</x:v>
      </x:c>
      <x:c r="B12" s="33" t="str">
        <x:v>所有标记“是”的必填字段必须有企业填报值；未知时选择“待确认”，不得猜测。</x:v>
      </x:c>
      <x:c r="C12" s="33" t="str"/>
      <x:c r="D12" s="33" t="str"/>
      <x:c r="E12" s="33" t="str"/>
      <x:c r="F12" s="33" t="str"/>
      <x:c r="G12" s="33" t="str"/>
      <x:c r="H12" s="33" t="str"/>
    </x:row>
    <x:row r="13">
      <x:c r="A13" s="34" t="str">
        <x:v>证据</x:v>
      </x:c>
      <x:c r="B13" s="35" t="str">
        <x:v>每个关键值填写规格书、图纸、BOM、铭牌照片或测试报告编号；文件名应可追溯。</x:v>
      </x:c>
      <x:c r="C13" s="35" t="str"/>
      <x:c r="D13" s="35" t="str"/>
      <x:c r="E13" s="35" t="str"/>
      <x:c r="F13" s="35" t="str"/>
      <x:c r="G13" s="35" t="str"/>
      <x:c r="H13" s="35" t="str"/>
    </x:row>
    <x:row r="14">
      <x:c r="A14" s="34" t="str">
        <x:v>功率</x:v>
      </x:c>
      <x:c r="B14" s="35" t="str">
        <x:v>驱动电机必须填连续额定输出功率，不得用峰值功率替代。</x:v>
      </x:c>
      <x:c r="C14" s="35" t="str"/>
      <x:c r="D14" s="35" t="str"/>
      <x:c r="E14" s="35" t="str"/>
      <x:c r="F14" s="35" t="str"/>
      <x:c r="G14" s="35" t="str"/>
      <x:c r="H14" s="35" t="str"/>
    </x:row>
    <x:row r="15">
      <x:c r="A15" s="34" t="str">
        <x:v>呈验状态</x:v>
      </x:c>
      <x:c r="B15" s="35" t="str">
        <x:v>均以同一报关批次的实际装配、包装和随附部件为准。</x:v>
      </x:c>
      <x:c r="C15" s="35" t="str"/>
      <x:c r="D15" s="35" t="str"/>
      <x:c r="E15" s="35" t="str"/>
      <x:c r="F15" s="35" t="str"/>
      <x:c r="G15" s="35" t="str"/>
      <x:c r="H15" s="35" t="str"/>
    </x:row>
    <x:row r="16">
      <x:c r="A16" s="34" t="str">
        <x:v>归类边界</x:v>
      </x:c>
      <x:c r="B16" s="35" t="str">
        <x:v>物理料号先映射到CCU；若填报对象不符合CCU边界，先重新分配CCU。</x:v>
      </x:c>
      <x:c r="C16" s="35" t="str"/>
      <x:c r="D16" s="35" t="str"/>
      <x:c r="E16" s="35" t="str"/>
      <x:c r="F16" s="35" t="str"/>
      <x:c r="G16" s="35" t="str"/>
      <x:c r="H16" s="35" t="str"/>
    </x:row>
    <x:row r="17">
      <x:c r="A17" s="36" t="str">
        <x:v>税率说明</x:v>
      </x:c>
      <x:c r="B17" s="37" t="str">
        <x:v>SST 10%为HS Explorer页面显示率，最终应税额仍按进口计税基础规则计算。</x:v>
      </x:c>
      <x:c r="C17" s="37" t="str"/>
      <x:c r="D17" s="37" t="str"/>
      <x:c r="E17" s="37" t="str"/>
      <x:c r="F17" s="37" t="str"/>
      <x:c r="G17" s="37" t="str"/>
      <x:c r="H17" s="37" t="str"/>
    </x:row>
    <x:row r="19">
      <x:c r="A19" s="27" t="str">
        <x:v>颜色说明</x:v>
      </x:c>
      <x:c r="B19" s="27" t="str">
        <x:v>颜色说明</x:v>
      </x:c>
      <x:c r="C19" s="27" t="str">
        <x:v>颜色说明</x:v>
      </x:c>
      <x:c r="D19" s="27" t="str">
        <x:v>颜色说明</x:v>
      </x:c>
      <x:c r="E19" s="27" t="str">
        <x:v>颜色说明</x:v>
      </x:c>
      <x:c r="F19" s="27" t="str">
        <x:v>颜色说明</x:v>
      </x:c>
      <x:c r="G19" s="27" t="str">
        <x:v>颜色说明</x:v>
      </x:c>
      <x:c r="H19" s="27" t="str">
        <x:v>颜色说明</x:v>
      </x:c>
    </x:row>
    <x:row r="20">
      <x:c r="A20" s="40" t="str">
        <x:v>黄色</x:v>
      </x:c>
      <x:c r="B20" s="41" t="str">
        <x:v>企业输入</x:v>
      </x:c>
      <x:c r="C20" s="42" t="str">
        <x:v>浅红</x:v>
      </x:c>
      <x:c r="D20" s="41" t="str">
        <x:v>必填但未填写</x:v>
      </x:c>
      <x:c r="E20" s="43" t="str">
        <x:v>绿色</x:v>
      </x:c>
      <x:c r="F20" s="41" t="str">
        <x:v>审核通过/已解决</x:v>
      </x:c>
    </x:row>
    <x:row r="21">
      <x:c r="A21" s="44" t="str">
        <x:v>灰色</x:v>
      </x:c>
      <x:c r="B21" s="45" t="str">
        <x:v>系统/参考值</x:v>
      </x:c>
      <x:c r="C21" s="46" t="str">
        <x:v>蓝色</x:v>
      </x:c>
      <x:c r="D21" s="45" t="str">
        <x:v>表头与规则</x:v>
      </x:c>
      <x:c r="E21" s="45" t="str"/>
      <x:c r="F21" s="45" t="str"/>
    </x:row>
    <x:row r="22">
      <x:c r="A22" s="47" t="str">
        <x:v>注意</x:v>
      </x:c>
      <x:c r="B22" s="47" t="str">
        <x:v>不得在黄色输入区填“见附件”而不提供附件编号。</x:v>
      </x:c>
      <x:c r="C22" s="47" t="str"/>
      <x:c r="D22" s="47" t="str"/>
      <x:c r="E22" s="47" t="str"/>
      <x:c r="F22" s="47" t="str"/>
    </x:row>
    <x:row r="24">
      <x:c r="A24" s="18" t="str">
        <x:v>官方来源</x:v>
      </x:c>
      <x:c r="B24" s="18" t="str">
        <x:v>官方来源</x:v>
      </x:c>
      <x:c r="C24" s="18" t="str">
        <x:v>官方来源</x:v>
      </x:c>
      <x:c r="D24" s="18" t="str">
        <x:v>官方来源</x:v>
      </x:c>
      <x:c r="E24" s="18" t="str">
        <x:v>官方来源</x:v>
      </x:c>
      <x:c r="F24" s="18" t="str">
        <x:v>官方来源</x:v>
      </x:c>
      <x:c r="G24" s="18" t="str">
        <x:v>官方来源</x:v>
      </x:c>
      <x:c r="H24" s="18" t="str">
        <x:v>官方来源</x:v>
      </x:c>
    </x:row>
    <x:row r="25">
      <x:c r="A25" s="50" t="str">
        <x:v>PDK 2025正式PDF</x:v>
      </x:c>
      <x:c r="B25" s="33" t="str">
        <x:v>https://www.customs.gov.my/images/06-prosedur/perintah-kastam/perintah/PUA_384.pdf</x:v>
      </x:c>
      <x:c r="C25" s="33" t="str"/>
      <x:c r="D25" s="33" t="str"/>
      <x:c r="E25" s="33" t="str"/>
      <x:c r="F25" s="33" t="str"/>
      <x:c r="G25" s="33" t="str"/>
      <x:c r="H25" s="33" t="str"/>
    </x:row>
    <x:row r="26">
      <x:c r="A26" s="51" t="str">
        <x:v>JKDM HS Explorer</x:v>
      </x:c>
      <x:c r="B26" s="35" t="str">
        <x:v>https://ezhs.customs.gov.my/</x:v>
      </x:c>
      <x:c r="C26" s="35" t="str"/>
      <x:c r="D26" s="35" t="str"/>
      <x:c r="E26" s="35" t="str"/>
      <x:c r="F26" s="35" t="str"/>
      <x:c r="G26" s="35" t="str"/>
      <x:c r="H26" s="35" t="str"/>
    </x:row>
    <x:row r="27">
      <x:c r="A27" s="52" t="str">
        <x:v>已核验页码</x:v>
      </x:c>
      <x:c r="B27" s="37" t="str">
        <x:v>850152: 1074-1075；870870: 1248-1249；870880: 1249-1250；870894: 1251-1252</x:v>
      </x:c>
      <x:c r="C27" s="37" t="str"/>
      <x:c r="D27" s="37" t="str"/>
      <x:c r="E27" s="37" t="str"/>
      <x:c r="F27" s="37" t="str"/>
      <x:c r="G27" s="37" t="str"/>
      <x:c r="H27" s="37" t="str"/>
    </x:row>
  </x:sheetData>
  <x:mergeCells>
    <x:mergeCell ref="A1:H1"/>
    <x:mergeCell ref="A2:H2"/>
    <x:mergeCell ref="D4:H4"/>
    <x:mergeCell ref="F5:H5"/>
    <x:mergeCell ref="F6:H6"/>
    <x:mergeCell ref="F7:H7"/>
    <x:mergeCell ref="F8:H8"/>
    <x:mergeCell ref="F9:H9"/>
    <x:mergeCell ref="A11:H11"/>
    <x:mergeCell ref="B12:H12"/>
    <x:mergeCell ref="B13:H13"/>
    <x:mergeCell ref="B14:H14"/>
    <x:mergeCell ref="B15:H15"/>
    <x:mergeCell ref="B16:H16"/>
    <x:mergeCell ref="B17:H17"/>
    <x:mergeCell ref="A19:H19"/>
    <x:mergeCell ref="A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2" hidden="0" customWidth="1"/>
    <x:col min="5" max="5" width="12" hidden="0" customWidth="1"/>
    <x:col min="6" max="6" width="11" hidden="0" customWidth="1"/>
    <x:col min="7" max="7" width="42" hidden="0" customWidth="1"/>
    <x:col min="8" max="8" width="11" hidden="0" customWidth="1"/>
    <x:col min="9" max="9" width="11" hidden="0" customWidth="1"/>
    <x:col min="10" max="10" width="20" hidden="0" customWidth="1"/>
    <x:col min="11" max="11" width="38" hidden="0" customWidth="1"/>
    <x:col min="12" max="12" width="14" hidden="0" customWidth="1"/>
    <x:col min="13" max="13" width="14" hidden="0" customWidth="1"/>
    <x:col min="14" max="14" width="13" hidden="0" customWidth="1"/>
    <x:col min="15" max="15" width="24" hidden="0" customWidth="1"/>
  </x:cols>
  <x:sheetData>
    <x:row r="1" ht="34" customHeight="1">
      <x:c r="A1" s="4" t="str">
        <x:v>项目与CCU提交清单</x:v>
      </x:c>
      <x:c r="B1" s="4" t="str">
        <x:v>项目与CCU提交清单</x:v>
      </x:c>
      <x:c r="C1" s="4" t="str">
        <x:v>项目与CCU提交清单</x:v>
      </x:c>
      <x:c r="D1" s="4" t="str">
        <x:v>项目与CCU提交清单</x:v>
      </x:c>
      <x:c r="E1" s="4" t="str">
        <x:v>项目与CCU提交清单</x:v>
      </x:c>
      <x:c r="F1" s="4" t="str">
        <x:v>项目与CCU提交清单</x:v>
      </x:c>
      <x:c r="G1" s="4" t="str">
        <x:v>项目与CCU提交清单</x:v>
      </x:c>
      <x:c r="H1" s="4" t="str">
        <x:v>项目与CCU提交清单</x:v>
      </x:c>
      <x:c r="I1" s="4" t="str">
        <x:v>项目与CCU提交清单</x:v>
      </x:c>
      <x:c r="J1" s="4" t="str">
        <x:v>项目与CCU提交清单</x:v>
      </x:c>
      <x:c r="K1" s="4" t="str">
        <x:v>项目与CCU提交清单</x:v>
      </x:c>
      <x:c r="L1" s="4" t="str">
        <x:v>项目与CCU提交清单</x:v>
      </x:c>
      <x:c r="M1" s="4" t="str">
        <x:v>项目与CCU提交清单</x:v>
      </x:c>
      <x:c r="N1" s="4" t="str">
        <x:v>项目与CCU提交清单</x:v>
      </x:c>
      <x:c r="O1" s="4" t="str">
        <x:v>项目与CCU提交清单</x:v>
      </x:c>
    </x:row>
    <x:row r="2">
      <x:c r="A2" s="60" t="str">
        <x:v>项目/车型</x:v>
      </x:c>
      <x:c r="B2" s="62" t="str"/>
      <x:c r="C2" s="61" t="str">
        <x:v>国家</x:v>
      </x:c>
      <x:c r="D2" s="58" t="str">
        <x:v>Malaysia</x:v>
      </x:c>
      <x:c r="E2" s="61" t="str">
        <x:v>原产地</x:v>
      </x:c>
      <x:c r="F2" s="58" t="str">
        <x:v>China</x:v>
      </x:c>
      <x:c r="G2" s="61" t="str">
        <x:v>贸易模式</x:v>
      </x:c>
      <x:c r="H2" s="58" t="str">
        <x:v>CKD</x:v>
      </x:c>
      <x:c r="I2" s="61" t="str">
        <x:v>动力类型</x:v>
      </x:c>
      <x:c r="J2" s="58" t="str">
        <x:v>BEV</x:v>
      </x:c>
      <x:c r="K2" s="61" t="str">
        <x:v>项目负责人</x:v>
      </x:c>
      <x:c r="L2" s="62" t="str"/>
      <x:c r="M2" s="61" t="str">
        <x:v>计划申报日期</x:v>
      </x:c>
      <x:c r="N2" s="63"/>
      <x:c r="O2" s="59" t="str"/>
    </x:row>
    <x:row r="3">
      <x:c r="A3" s="66" t="str">
        <x:v>CCU总数</x:v>
      </x:c>
      <x:c r="B3" s="67" t="n">
        <x:f>COUNTA(A6:A14)</x:f>
        <x:v>9</x:v>
      </x:c>
      <x:c r="C3" s="66" t="str">
        <x:v>平均完成率</x:v>
      </x:c>
      <x:c r="D3" s="68" t="n">
        <x:f>AVERAGE(F6:F14)</x:f>
        <x:v>0</x:v>
      </x:c>
      <x:c r="E3" s="66" t="str">
        <x:v>待审核/退回</x:v>
      </x:c>
      <x:c r="F3" s="67" t="n">
        <x:f>COUNTIF(L6:L14,"待审核")+COUNTIF(L6:L14,"退回补充")</x:f>
        <x:v>0</x:v>
      </x:c>
    </x:row>
    <x:row r="5" ht="34" customHeight="1">
      <x:c r="A5" s="73" t="str">
        <x:v>CCU代码</x:v>
      </x:c>
      <x:c r="B5" s="73" t="str">
        <x:v>CCU中文名</x:v>
      </x:c>
      <x:c r="C5" s="73" t="str">
        <x:v>建议牵头部门</x:v>
      </x:c>
      <x:c r="D5" s="73" t="str">
        <x:v>必填参数数</x:v>
      </x:c>
      <x:c r="E5" s="73" t="str">
        <x:v>已填必填数</x:v>
      </x:c>
      <x:c r="F5" s="73" t="str">
        <x:v>完成率</x:v>
      </x:c>
      <x:c r="G5" s="73" t="str">
        <x:v>当前PDK完整税号/候选</x:v>
      </x:c>
      <x:c r="H5" s="73" t="str">
        <x:v>MFN</x:v>
      </x:c>
      <x:c r="I5" s="73" t="str">
        <x:v>页面SST</x:v>
      </x:c>
      <x:c r="J5" s="73" t="str">
        <x:v>当前结论</x:v>
      </x:c>
      <x:c r="K5" s="73" t="str">
        <x:v>主要阻塞项</x:v>
      </x:c>
      <x:c r="L5" s="73" t="str">
        <x:v>审核状态</x:v>
      </x:c>
      <x:c r="M5" s="73" t="str">
        <x:v>责任人</x:v>
      </x:c>
      <x:c r="N5" s="73" t="str">
        <x:v>截止日期</x:v>
      </x:c>
      <x:c r="O5" s="73" t="str">
        <x:v>备注</x:v>
      </x:c>
    </x:row>
    <x:row r="6" ht="48" customHeight="1">
      <x:c r="A6" s="79" t="str">
        <x:v>CCU-TRACTION-MOTOR</x:v>
      </x:c>
      <x:c r="B6" s="79" t="str">
        <x:v>电动汽车驱动电机</x:v>
      </x:c>
      <x:c r="C6" s="79" t="str">
        <x:v>电驱系统工程</x:v>
      </x:c>
      <x:c r="D6" s="81" t="n">
        <x:f>COUNTIFS('03_技术参数采集'!$B$6:$B$200,A6,'03_技术参数采集'!$F$6:$F$200,"是")</x:f>
        <x:v>9</x:v>
      </x:c>
      <x:c r="E6" s="81" t="n">
        <x:f>COUNTIFS('03_技术参数采集'!$B$6:$B$200,A6,'03_技术参数采集'!$F$6:$F$200,"是",'03_技术参数采集'!$K$6:$K$200,"&lt;&gt;")</x:f>
        <x:v>0</x:v>
      </x:c>
      <x:c r="F6" s="85" t="n">
        <x:f>IF(D6=0,0,E6/D6)</x:f>
        <x:v>0</x:v>
      </x:c>
      <x:c r="G6" s="79" t="str">
        <x:v>8501521200 / 8501522200 / 8501523200 / 8501531000</x:v>
      </x:c>
      <x:c r="H6" s="79" t="str">
        <x:v>15% / 0%</x:v>
      </x:c>
      <x:c r="I6" s="79" t="str">
        <x:v>10%</x:v>
      </x:c>
      <x:c r="J6" s="79" t="str">
        <x:v>条件映射已核验</x:v>
      </x:c>
      <x:c r="K6" s="79" t="str">
        <x:v>电流类型、连续额定输出功率、集成状态</x:v>
      </x:c>
      <x:c r="L6" s="83" t="str">
        <x:v>待填报</x:v>
      </x:c>
      <x:c r="M6" s="83" t="str"/>
      <x:c r="N6" s="87"/>
      <x:c r="O6" s="83" t="str"/>
    </x:row>
    <x:row r="7" ht="48" customHeight="1">
      <x:c r="A7" s="80" t="str">
        <x:v>CCU-TRACTION-INVERTER</x:v>
      </x:c>
      <x:c r="B7" s="80" t="str">
        <x:v>驱动逆变器</x:v>
      </x:c>
      <x:c r="C7" s="80" t="str">
        <x:v>功率电子工程</x:v>
      </x:c>
      <x:c r="D7" s="82" t="n">
        <x:f>COUNTIFS('03_技术参数采集'!$B$6:$B$200,A7,'03_技术参数采集'!$F$6:$F$200,"是")</x:f>
        <x:v>8</x:v>
      </x:c>
      <x:c r="E7" s="82" t="n">
        <x:f>COUNTIFS('03_技术参数采集'!$B$6:$B$200,A7,'03_技术参数采集'!$F$6:$F$200,"是",'03_技术参数采集'!$K$6:$K$200,"&lt;&gt;")</x:f>
        <x:v>0</x:v>
      </x:c>
      <x:c r="F7" s="86" t="n">
        <x:f>IF(D7=0,0,E7/D7)</x:f>
        <x:v>0</x:v>
      </x:c>
      <x:c r="G7" s="80" t="str">
        <x:v>8504404000</x:v>
      </x:c>
      <x:c r="H7" s="80" t="str">
        <x:v>0%</x:v>
      </x:c>
      <x:c r="I7" s="80" t="str">
        <x:v>10%</x:v>
      </x:c>
      <x:c r="J7" s="80" t="str">
        <x:v>条件映射已核验</x:v>
      </x:c>
      <x:c r="K7" s="80" t="str">
        <x:v>主功能及集成OBC/DC-DC功能</x:v>
      </x:c>
      <x:c r="L7" s="84" t="str">
        <x:v>待填报</x:v>
      </x:c>
      <x:c r="M7" s="84" t="str"/>
      <x:c r="N7" s="88"/>
      <x:c r="O7" s="84" t="str"/>
    </x:row>
    <x:row r="8" ht="48" customHeight="1">
      <x:c r="A8" s="80" t="str">
        <x:v>CCU-ONBOARD-CHARGER</x:v>
      </x:c>
      <x:c r="B8" s="80" t="str">
        <x:v>车载充电机</x:v>
      </x:c>
      <x:c r="C8" s="80" t="str">
        <x:v>功率电子工程</x:v>
      </x:c>
      <x:c r="D8" s="82" t="n">
        <x:f>COUNTIFS('03_技术参数采集'!$B$6:$B$200,A8,'03_技术参数采集'!$F$6:$F$200,"是")</x:f>
        <x:v>10</x:v>
      </x:c>
      <x:c r="E8" s="82" t="n">
        <x:f>COUNTIFS('03_技术参数采集'!$B$6:$B$200,A8,'03_技术参数采集'!$F$6:$F$200,"是",'03_技术参数采集'!$K$6:$K$200,"&lt;&gt;")</x:f>
        <x:v>0</x:v>
      </x:c>
      <x:c r="F8" s="86" t="n">
        <x:f>IF(D8=0,0,E8/D8)</x:f>
        <x:v>0</x:v>
      </x:c>
      <x:c r="G8" s="80" t="str">
        <x:v>8504402000 / 8504403000 / 8504409000</x:v>
      </x:c>
      <x:c r="H8" s="80" t="str">
        <x:v>0%</x:v>
      </x:c>
      <x:c r="I8" s="80" t="str">
        <x:v>10%</x:v>
      </x:c>
      <x:c r="J8" s="80" t="str">
        <x:v>保留条件候选</x:v>
      </x:c>
      <x:c r="K8" s="80" t="str">
        <x:v>kVA额定值、整流/充电功能、8504409000监管适用性</x:v>
      </x:c>
      <x:c r="L8" s="84" t="str">
        <x:v>待填报</x:v>
      </x:c>
      <x:c r="M8" s="84" t="str"/>
      <x:c r="N8" s="88"/>
      <x:c r="O8" s="84" t="str"/>
    </x:row>
    <x:row r="9" ht="48" customHeight="1">
      <x:c r="A9" s="80" t="str">
        <x:v>CCU-DC-DC-CONVERTER</x:v>
      </x:c>
      <x:c r="B9" s="80" t="str">
        <x:v>车载直流变换器</x:v>
      </x:c>
      <x:c r="C9" s="80" t="str">
        <x:v>功率电子工程</x:v>
      </x:c>
      <x:c r="D9" s="82" t="n">
        <x:f>COUNTIFS('03_技术参数采集'!$B$6:$B$200,A9,'03_技术参数采集'!$F$6:$F$200,"是")</x:f>
        <x:v>9</x:v>
      </x:c>
      <x:c r="E9" s="82" t="n">
        <x:f>COUNTIFS('03_技术参数采集'!$B$6:$B$200,A9,'03_技术参数采集'!$F$6:$F$200,"是",'03_技术参数采集'!$K$6:$K$200,"&lt;&gt;")</x:f>
        <x:v>0</x:v>
      </x:c>
      <x:c r="F9" s="86" t="n">
        <x:f>IF(D9=0,0,E9/D9)</x:f>
        <x:v>0</x:v>
      </x:c>
      <x:c r="G9" s="80" t="str">
        <x:v>8504409000</x:v>
      </x:c>
      <x:c r="H9" s="80" t="str">
        <x:v>0%</x:v>
      </x:c>
      <x:c r="I9" s="80" t="str">
        <x:v>10%</x:v>
      </x:c>
      <x:c r="J9" s="80" t="str">
        <x:v>保留条件候选</x:v>
      </x:c>
      <x:c r="K9" s="80" t="str">
        <x:v>是否集成充电机或逆变器</x:v>
      </x:c>
      <x:c r="L9" s="84" t="str">
        <x:v>待填报</x:v>
      </x:c>
      <x:c r="M9" s="84" t="str"/>
      <x:c r="N9" s="88"/>
      <x:c r="O9" s="84" t="str"/>
    </x:row>
    <x:row r="10" ht="48" customHeight="1">
      <x:c r="A10" s="80" t="str">
        <x:v>CCU-PASSENGER-BODY-SHELL</x:v>
      </x:c>
      <x:c r="B10" s="80" t="str">
        <x:v>乘用车车身壳体</x:v>
      </x:c>
      <x:c r="C10" s="80" t="str">
        <x:v>车身工程</x:v>
      </x:c>
      <x:c r="D10" s="82" t="n">
        <x:f>COUNTIFS('03_技术参数采集'!$B$6:$B$200,A10,'03_技术参数采集'!$F$6:$F$200,"是")</x:f>
        <x:v>10</x:v>
      </x:c>
      <x:c r="E10" s="82" t="n">
        <x:f>COUNTIFS('03_技术参数采集'!$B$6:$B$200,A10,'03_技术参数采集'!$F$6:$F$200,"是",'03_技术参数采集'!$K$6:$K$200,"&lt;&gt;")</x:f>
        <x:v>0</x:v>
      </x:c>
      <x:c r="F10" s="86" t="n">
        <x:f>IF(D10=0,0,E10/D10)</x:f>
        <x:v>0</x:v>
      </x:c>
      <x:c r="G10" s="80" t="str">
        <x:v>8707109000</x:v>
      </x:c>
      <x:c r="H10" s="80" t="str">
        <x:v>30%</x:v>
      </x:c>
      <x:c r="I10" s="80" t="str">
        <x:v>10%</x:v>
      </x:c>
      <x:c r="J10" s="80" t="str">
        <x:v>保留条件候选</x:v>
      </x:c>
      <x:c r="K10" s="80" t="str">
        <x:v>GRI 2(a)、车身完整程度及同批货物</x:v>
      </x:c>
      <x:c r="L10" s="84" t="str">
        <x:v>待填报</x:v>
      </x:c>
      <x:c r="M10" s="84" t="str"/>
      <x:c r="N10" s="88"/>
      <x:c r="O10" s="84" t="str"/>
    </x:row>
    <x:row r="11" ht="48" customHeight="1">
      <x:c r="A11" s="80" t="str">
        <x:v>CCU-ROAD-WHEEL</x:v>
      </x:c>
      <x:c r="B11" s="80" t="str">
        <x:v>机动车道路车轮</x:v>
      </x:c>
      <x:c r="C11" s="80" t="str">
        <x:v>底盘工程</x:v>
      </x:c>
      <x:c r="D11" s="82" t="n">
        <x:f>COUNTIFS('03_技术参数采集'!$B$6:$B$200,A11,'03_技术参数采集'!$F$6:$F$200,"是")</x:f>
        <x:v>9</x:v>
      </x:c>
      <x:c r="E11" s="82" t="n">
        <x:f>COUNTIFS('03_技术参数采集'!$B$6:$B$200,A11,'03_技术参数采集'!$F$6:$F$200,"是",'03_技术参数采集'!$K$6:$K$200,"&lt;&gt;")</x:f>
        <x:v>0</x:v>
      </x:c>
      <x:c r="F11" s="86" t="n">
        <x:f>IF(D11=0,0,E11/D11)</x:f>
        <x:v>0</x:v>
      </x:c>
      <x:c r="G11" s="80" t="str">
        <x:v>8708702200（带轮胎）/ 8708703200（不带轮胎）</x:v>
      </x:c>
      <x:c r="H11" s="80" t="str">
        <x:v>30%</x:v>
      </x:c>
      <x:c r="I11" s="80" t="str">
        <x:v>10%</x:v>
      </x:c>
      <x:c r="J11" s="80" t="str">
        <x:v>父级缩进已解决</x:v>
      </x:c>
      <x:c r="K11" s="80" t="str">
        <x:v>是否带轮胎；轮毂罩和其他附件不属于本CCU</x:v>
      </x:c>
      <x:c r="L11" s="84" t="str">
        <x:v>待填报</x:v>
      </x:c>
      <x:c r="M11" s="84" t="str"/>
      <x:c r="N11" s="88"/>
      <x:c r="O11" s="84" t="str"/>
    </x:row>
    <x:row r="12" ht="48" customHeight="1">
      <x:c r="A12" s="80" t="str">
        <x:v>CCU-FOUNDATION-BRAKE</x:v>
      </x:c>
      <x:c r="B12" s="80" t="str">
        <x:v>车轮端基础制动器</x:v>
      </x:c>
      <x:c r="C12" s="80" t="str">
        <x:v>制动系统工程</x:v>
      </x:c>
      <x:c r="D12" s="82" t="n">
        <x:f>COUNTIFS('03_技术参数采集'!$B$6:$B$200,A12,'03_技术参数采集'!$F$6:$F$200,"是")</x:f>
        <x:v>10</x:v>
      </x:c>
      <x:c r="E12" s="82" t="n">
        <x:f>COUNTIFS('03_技术参数采集'!$B$6:$B$200,A12,'03_技术参数采集'!$F$6:$F$200,"是",'03_技术参数采集'!$K$6:$K$200,"&lt;&gt;")</x:f>
        <x:v>0</x:v>
      </x:c>
      <x:c r="F12" s="86" t="n">
        <x:f>IF(D12=0,0,E12/D12)</x:f>
        <x:v>0</x:v>
      </x:c>
      <x:c r="G12" s="80" t="str">
        <x:v>8708302100 / 8708302900</x:v>
      </x:c>
      <x:c r="H12" s="80" t="str">
        <x:v>30%</x:v>
      </x:c>
      <x:c r="I12" s="80" t="str">
        <x:v>10%</x:v>
      </x:c>
      <x:c r="J12" s="80" t="str">
        <x:v>保留条件候选</x:v>
      </x:c>
      <x:c r="K12" s="80" t="str">
        <x:v>具体部件；OEM KD或替换件用途</x:v>
      </x:c>
      <x:c r="L12" s="84" t="str">
        <x:v>待填报</x:v>
      </x:c>
      <x:c r="M12" s="84" t="str"/>
      <x:c r="N12" s="88"/>
      <x:c r="O12" s="84" t="str"/>
    </x:row>
    <x:row r="13" ht="48" customHeight="1">
      <x:c r="A13" s="80" t="str">
        <x:v>CCU-STEERING-GEAR-COLUMN</x:v>
      </x:c>
      <x:c r="B13" s="80" t="str">
        <x:v>转向器或转向柱总成</x:v>
      </x:c>
      <x:c r="C13" s="80" t="str">
        <x:v>转向系统工程</x:v>
      </x:c>
      <x:c r="D13" s="82" t="n">
        <x:f>COUNTIFS('03_技术参数采集'!$B$6:$B$200,A13,'03_技术参数采集'!$F$6:$F$200,"是")</x:f>
        <x:v>8</x:v>
      </x:c>
      <x:c r="E13" s="82" t="n">
        <x:f>COUNTIFS('03_技术参数采集'!$B$6:$B$200,A13,'03_技术参数采集'!$F$6:$F$200,"是",'03_技术参数采集'!$K$6:$K$200,"&lt;&gt;")</x:f>
        <x:v>0</x:v>
      </x:c>
      <x:c r="F13" s="86" t="n">
        <x:f>IF(D13=0,0,E13/D13)</x:f>
        <x:v>0</x:v>
      </x:c>
      <x:c r="G13" s="80" t="str">
        <x:v>8708949500</x:v>
      </x:c>
      <x:c r="H13" s="80" t="str">
        <x:v>25%</x:v>
      </x:c>
      <x:c r="I13" s="80" t="str">
        <x:v>10%</x:v>
      </x:c>
      <x:c r="J13" s="80" t="str">
        <x:v>父级缩进已解决</x:v>
      </x:c>
      <x:c r="K13" s="80" t="str">
        <x:v>确认不是带安全气囊方向盘；检查集成电机/ECU</x:v>
      </x:c>
      <x:c r="L13" s="84" t="str">
        <x:v>待填报</x:v>
      </x:c>
      <x:c r="M13" s="84" t="str"/>
      <x:c r="N13" s="88"/>
      <x:c r="O13" s="84" t="str"/>
    </x:row>
    <x:row r="14" ht="48" customHeight="1">
      <x:c r="A14" s="80" t="str">
        <x:v>CCU-SHOCK-ABSORBER-STRUT</x:v>
      </x:c>
      <x:c r="B14" s="80" t="str">
        <x:v>悬架减振器或支柱</x:v>
      </x:c>
      <x:c r="C14" s="80" t="str">
        <x:v>悬架系统工程</x:v>
      </x:c>
      <x:c r="D14" s="82" t="n">
        <x:f>COUNTIFS('03_技术参数采集'!$B$6:$B$200,A14,'03_技术参数采集'!$F$6:$F$200,"是")</x:f>
        <x:v>9</x:v>
      </x:c>
      <x:c r="E14" s="82" t="n">
        <x:f>COUNTIFS('03_技术参数采集'!$B$6:$B$200,A14,'03_技术参数采集'!$F$6:$F$200,"是",'03_技术参数采集'!$K$6:$K$200,"&lt;&gt;")</x:f>
        <x:v>0</x:v>
      </x:c>
      <x:c r="F14" s="86" t="n">
        <x:f>IF(D14=0,0,E14/D14)</x:f>
        <x:v>0</x:v>
      </x:c>
      <x:c r="G14" s="80" t="str">
        <x:v>8708809200</x:v>
      </x:c>
      <x:c r="H14" s="80" t="str">
        <x:v>30%</x:v>
      </x:c>
      <x:c r="I14" s="80" t="str">
        <x:v>10%</x:v>
      </x:c>
      <x:c r="J14" s="80" t="str">
        <x:v>父级缩进已解决</x:v>
      </x:c>
      <x:c r="K14" s="80" t="str">
        <x:v>确认是悬架零件而非完整悬架系统</x:v>
      </x:c>
      <x:c r="L14" s="84" t="str">
        <x:v>待填报</x:v>
      </x:c>
      <x:c r="M14" s="84" t="str"/>
      <x:c r="N14" s="88"/>
      <x:c r="O14" s="84" t="str"/>
    </x:row>
  </x:sheetData>
  <x:mergeCells>
    <x:mergeCell ref="A1:O1"/>
  </x:mergeCells>
  <x:conditionalFormatting sqref="F6:F1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6:J14">
    <x:cfRule type="containsText" dxfId="0" priority="2" operator="containsText" text="已解决"/>
  </x:conditionalFormatting>
  <x:dataValidations count="2">
    <x:dataValidation type="list" sqref="L6:L14">
      <x:formula1>"待填报,填报中,待审核,退回补充,审核通过"</x:formula1>
    </x:dataValidation>
    <x:dataValidation type="list" sqref="C6:C14">
      <x:formula1>"关务/税务,电驱系统工程,功率电子工程,车身工程,底盘工程,制动系统工程,转向系统工程,悬架系统工程,采购/SQE,物流包装,法规认证,项目管理"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4c7755d3e340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2" hidden="0" customWidth="1"/>
    <x:col min="4" max="4" width="37" hidden="0" customWidth="1"/>
    <x:col min="5" max="5" width="25" hidden="0" customWidth="1"/>
    <x:col min="6" max="6" width="9" hidden="0" customWidth="1"/>
    <x:col min="7" max="7" width="11" hidden="0" customWidth="1"/>
    <x:col min="8" max="8" width="12" hidden="0" customWidth="1"/>
    <x:col min="9" max="9" width="18" hidden="0" customWidth="1"/>
    <x:col min="10" max="10" width="42" hidden="0" customWidth="1"/>
    <x:col min="11" max="11" width="20" hidden="0" customWidth="1"/>
    <x:col min="12" max="12" width="28" hidden="0" customWidth="1"/>
    <x:col min="13" max="13" width="18" hidden="0" customWidth="1"/>
    <x:col min="14" max="14" width="13" hidden="0" customWidth="1"/>
    <x:col min="15" max="15" width="13" hidden="0" customWidth="1"/>
    <x:col min="16" max="16" width="13" hidden="0" customWidth="1"/>
    <x:col min="17" max="17" width="30" hidden="0" customWidth="1"/>
    <x:col min="18" max="18" width="40" hidden="0" customWidth="1"/>
    <x:col min="19" max="19" width="32" hidden="0" customWidth="1"/>
  </x:cols>
  <x:sheetData>
    <x:row r="1" ht="34" customHeight="1">
      <x:c r="A1" s="4" t="str">
        <x:v>9个CCU企业技术参数采集</x:v>
      </x:c>
      <x:c r="B1" s="4" t="str">
        <x:v>9个CCU企业技术参数采集</x:v>
      </x:c>
      <x:c r="C1" s="4" t="str">
        <x:v>9个CCU企业技术参数采集</x:v>
      </x:c>
      <x:c r="D1" s="4" t="str">
        <x:v>9个CCU企业技术参数采集</x:v>
      </x:c>
      <x:c r="E1" s="4" t="str">
        <x:v>9个CCU企业技术参数采集</x:v>
      </x:c>
      <x:c r="F1" s="4" t="str">
        <x:v>9个CCU企业技术参数采集</x:v>
      </x:c>
      <x:c r="G1" s="4" t="str">
        <x:v>9个CCU企业技术参数采集</x:v>
      </x:c>
      <x:c r="H1" s="4" t="str">
        <x:v>9个CCU企业技术参数采集</x:v>
      </x:c>
      <x:c r="I1" s="4" t="str">
        <x:v>9个CCU企业技术参数采集</x:v>
      </x:c>
      <x:c r="J1" s="4" t="str">
        <x:v>9个CCU企业技术参数采集</x:v>
      </x:c>
      <x:c r="K1" s="4" t="str">
        <x:v>9个CCU企业技术参数采集</x:v>
      </x:c>
      <x:c r="L1" s="4" t="str">
        <x:v>9个CCU企业技术参数采集</x:v>
      </x:c>
      <x:c r="M1" s="4" t="str">
        <x:v>9个CCU企业技术参数采集</x:v>
      </x:c>
      <x:c r="N1" s="4" t="str">
        <x:v>9个CCU企业技术参数采集</x:v>
      </x:c>
      <x:c r="O1" s="4" t="str">
        <x:v>9个CCU企业技术参数采集</x:v>
      </x:c>
      <x:c r="P1" s="4" t="str">
        <x:v>9个CCU企业技术参数采集</x:v>
      </x:c>
      <x:c r="Q1" s="4" t="str">
        <x:v>9个CCU企业技术参数采集</x:v>
      </x:c>
      <x:c r="R1" s="4" t="str">
        <x:v>9个CCU企业技术参数采集</x:v>
      </x:c>
      <x:c r="S1" s="4" t="str">
        <x:v>9个CCU企业技术参数采集</x:v>
      </x:c>
    </x:row>
    <x:row r="2">
      <x:c r="A2" s="91" t="str">
        <x:v>黄色列由企业填写；必填值缺失时会显示浅红。每个关键参数必须在“证据文件/图纸编号”中给出可追溯文件。</x:v>
      </x:c>
      <x:c r="B2" s="91" t="str">
        <x:v>黄色列由企业填写；必填值缺失时会显示浅红。每个关键参数必须在“证据文件/图纸编号”中给出可追溯文件。</x:v>
      </x:c>
      <x:c r="C2" s="91" t="str">
        <x:v>黄色列由企业填写；必填值缺失时会显示浅红。每个关键参数必须在“证据文件/图纸编号”中给出可追溯文件。</x:v>
      </x:c>
      <x:c r="D2" s="91" t="str">
        <x:v>黄色列由企业填写；必填值缺失时会显示浅红。每个关键参数必须在“证据文件/图纸编号”中给出可追溯文件。</x:v>
      </x:c>
      <x:c r="E2" s="91" t="str">
        <x:v>黄色列由企业填写；必填值缺失时会显示浅红。每个关键参数必须在“证据文件/图纸编号”中给出可追溯文件。</x:v>
      </x:c>
      <x:c r="F2" s="91" t="str">
        <x:v>黄色列由企业填写；必填值缺失时会显示浅红。每个关键参数必须在“证据文件/图纸编号”中给出可追溯文件。</x:v>
      </x:c>
      <x:c r="G2" s="91" t="str">
        <x:v>黄色列由企业填写；必填值缺失时会显示浅红。每个关键参数必须在“证据文件/图纸编号”中给出可追溯文件。</x:v>
      </x:c>
      <x:c r="H2" s="91" t="str">
        <x:v>黄色列由企业填写；必填值缺失时会显示浅红。每个关键参数必须在“证据文件/图纸编号”中给出可追溯文件。</x:v>
      </x:c>
      <x:c r="I2" s="91" t="str">
        <x:v>黄色列由企业填写；必填值缺失时会显示浅红。每个关键参数必须在“证据文件/图纸编号”中给出可追溯文件。</x:v>
      </x:c>
      <x:c r="J2" s="91" t="str">
        <x:v>黄色列由企业填写；必填值缺失时会显示浅红。每个关键参数必须在“证据文件/图纸编号”中给出可追溯文件。</x:v>
      </x:c>
      <x:c r="K2" s="91" t="str">
        <x:v>黄色列由企业填写；必填值缺失时会显示浅红。每个关键参数必须在“证据文件/图纸编号”中给出可追溯文件。</x:v>
      </x:c>
      <x:c r="L2" s="91" t="str">
        <x:v>黄色列由企业填写；必填值缺失时会显示浅红。每个关键参数必须在“证据文件/图纸编号”中给出可追溯文件。</x:v>
      </x:c>
      <x:c r="M2" s="91" t="str">
        <x:v>黄色列由企业填写；必填值缺失时会显示浅红。每个关键参数必须在“证据文件/图纸编号”中给出可追溯文件。</x:v>
      </x:c>
      <x:c r="N2" s="91" t="str">
        <x:v>黄色列由企业填写；必填值缺失时会显示浅红。每个关键参数必须在“证据文件/图纸编号”中给出可追溯文件。</x:v>
      </x:c>
      <x:c r="O2" s="91" t="str">
        <x:v>黄色列由企业填写；必填值缺失时会显示浅红。每个关键参数必须在“证据文件/图纸编号”中给出可追溯文件。</x:v>
      </x:c>
      <x:c r="P2" s="91" t="str">
        <x:v>黄色列由企业填写；必填值缺失时会显示浅红。每个关键参数必须在“证据文件/图纸编号”中给出可追溯文件。</x:v>
      </x:c>
      <x:c r="Q2" s="91" t="str">
        <x:v>黄色列由企业填写；必填值缺失时会显示浅红。每个关键参数必须在“证据文件/图纸编号”中给出可追溯文件。</x:v>
      </x:c>
      <x:c r="R2" s="91" t="str">
        <x:v>黄色列由企业填写；必填值缺失时会显示浅红。每个关键参数必须在“证据文件/图纸编号”中给出可追溯文件。</x:v>
      </x:c>
      <x:c r="S2" s="91" t="str">
        <x:v>黄色列由企业填写；必填值缺失时会显示浅红。每个关键参数必须在“证据文件/图纸编号”中给出可追溯文件。</x:v>
      </x:c>
    </x:row>
    <x:row r="3">
      <x:c r="A3" s="92" t="str">
        <x:v>参数总数：83；CCU数量：9；数据状态：初始空白模板</x:v>
      </x:c>
      <x:c r="B3" s="92" t="str">
        <x:v>参数总数：83；CCU数量：9；数据状态：初始空白模板</x:v>
      </x:c>
      <x:c r="C3" s="92" t="str">
        <x:v>参数总数：83；CCU数量：9；数据状态：初始空白模板</x:v>
      </x:c>
      <x:c r="D3" s="92" t="str">
        <x:v>参数总数：83；CCU数量：9；数据状态：初始空白模板</x:v>
      </x:c>
      <x:c r="E3" s="92" t="str">
        <x:v>参数总数：83；CCU数量：9；数据状态：初始空白模板</x:v>
      </x:c>
      <x:c r="F3" s="92" t="str">
        <x:v>参数总数：83；CCU数量：9；数据状态：初始空白模板</x:v>
      </x:c>
      <x:c r="G3" s="92" t="str">
        <x:v>参数总数：83；CCU数量：9；数据状态：初始空白模板</x:v>
      </x:c>
      <x:c r="H3" s="92" t="str">
        <x:v>参数总数：83；CCU数量：9；数据状态：初始空白模板</x:v>
      </x:c>
      <x:c r="I3" s="92" t="str">
        <x:v>参数总数：83；CCU数量：9；数据状态：初始空白模板</x:v>
      </x:c>
      <x:c r="J3" s="92" t="str">
        <x:v>参数总数：83；CCU数量：9；数据状态：初始空白模板</x:v>
      </x:c>
      <x:c r="K3" s="92" t="str">
        <x:v>参数总数：83；CCU数量：9；数据状态：初始空白模板</x:v>
      </x:c>
      <x:c r="L3" s="92" t="str">
        <x:v>参数总数：83；CCU数量：9；数据状态：初始空白模板</x:v>
      </x:c>
      <x:c r="M3" s="92" t="str">
        <x:v>参数总数：83；CCU数量：9；数据状态：初始空白模板</x:v>
      </x:c>
      <x:c r="N3" s="92" t="str">
        <x:v>参数总数：83；CCU数量：9；数据状态：初始空白模板</x:v>
      </x:c>
      <x:c r="O3" s="92" t="str">
        <x:v>参数总数：83；CCU数量：9；数据状态：初始空白模板</x:v>
      </x:c>
      <x:c r="P3" s="92" t="str">
        <x:v>参数总数：83；CCU数量：9；数据状态：初始空白模板</x:v>
      </x:c>
      <x:c r="Q3" s="92" t="str">
        <x:v>参数总数：83；CCU数量：9；数据状态：初始空白模板</x:v>
      </x:c>
      <x:c r="R3" s="92" t="str">
        <x:v>参数总数：83；CCU数量：9；数据状态：初始空白模板</x:v>
      </x:c>
      <x:c r="S3" s="92" t="str">
        <x:v>参数总数：83；CCU数量：9；数据状态：初始空白模板</x:v>
      </x:c>
    </x:row>
    <x:row r="5" ht="40" customHeight="1">
      <x:c r="A5" s="73" t="str">
        <x:v>参数记录ID</x:v>
      </x:c>
      <x:c r="B5" s="73" t="str">
        <x:v>CCU代码</x:v>
      </x:c>
      <x:c r="C5" s="73" t="str">
        <x:v>CCU中文名</x:v>
      </x:c>
      <x:c r="D5" s="73" t="str">
        <x:v>参数代码</x:v>
      </x:c>
      <x:c r="E5" s="73" t="str">
        <x:v>参数中文名称</x:v>
      </x:c>
      <x:c r="F5" s="73" t="str">
        <x:v>必填</x:v>
      </x:c>
      <x:c r="G5" s="73" t="str">
        <x:v>数据类型</x:v>
      </x:c>
      <x:c r="H5" s="73" t="str">
        <x:v>单位/格式</x:v>
      </x:c>
      <x:c r="I5" s="73" t="str">
        <x:v>默认/建议值</x:v>
      </x:c>
      <x:c r="J5" s="73" t="str">
        <x:v>可选值或填写说明</x:v>
      </x:c>
      <x:c r="K5" s="73" t="str">
        <x:v>企业填报值</x:v>
      </x:c>
      <x:c r="L5" s="73" t="str">
        <x:v>证据文件/图纸编号</x:v>
      </x:c>
      <x:c r="M5" s="73" t="str">
        <x:v>数据责任部门</x:v>
      </x:c>
      <x:c r="N5" s="73" t="str">
        <x:v>填报人</x:v>
      </x:c>
      <x:c r="O5" s="73" t="str">
        <x:v>填报日期</x:v>
      </x:c>
      <x:c r="P5" s="73" t="str">
        <x:v>审核状态</x:v>
      </x:c>
      <x:c r="Q5" s="73" t="str">
        <x:v>审核意见/备注</x:v>
      </x:c>
      <x:c r="R5" s="73" t="str">
        <x:v>归类影响</x:v>
      </x:c>
      <x:c r="S5" s="73" t="str">
        <x:v>来源定位</x:v>
      </x:c>
    </x:row>
    <x:row r="6" ht="46" customHeight="1">
      <x:c r="A6" s="81" t="str">
        <x:v>TP-001</x:v>
      </x:c>
      <x:c r="B6" s="81" t="str">
        <x:v>CCU-TRACTION-MOTOR</x:v>
      </x:c>
      <x:c r="C6" s="81" t="str">
        <x:v>电动汽车驱动电机</x:v>
      </x:c>
      <x:c r="D6" s="81" t="str">
        <x:v>part.current_type</x:v>
      </x:c>
      <x:c r="E6" s="81" t="str">
        <x:v>电机电流/相制式</x:v>
      </x:c>
      <x:c r="F6" s="81" t="str">
        <x:v>是</x:v>
      </x:c>
      <x:c r="G6" s="81" t="str">
        <x:v>枚举</x:v>
      </x:c>
      <x:c r="H6" s="81" t="str"/>
      <x:c r="I6" s="81" t="str"/>
      <x:c r="J6" s="81" t="str">
        <x:v>MULTI_PHASE_AC / SINGLE_PHASE_AC / DC / OTHER；优先按铭牌和规格书填写。</x:v>
      </x:c>
      <x:c r="K6" s="83"/>
      <x:c r="L6" s="83"/>
      <x:c r="M6" s="83" t="str">
        <x:v>电驱系统工程</x:v>
      </x:c>
      <x:c r="N6" s="83"/>
      <x:c r="O6" s="87"/>
      <x:c r="P6" s="83" t="str">
        <x:v>待填报</x:v>
      </x:c>
      <x:c r="Q6" s="83"/>
      <x:c r="R6" s="93" t="str">
        <x:v>决定8501子目；本模板首轮规则针对多相交流电机。</x:v>
      </x:c>
      <x:c r="S6" s="93" t="str">
        <x:v>P.U. (A) 384/2025 pp.1074-1075</x:v>
      </x:c>
    </x:row>
    <x:row r="7" ht="46" customHeight="1">
      <x:c r="A7" s="82" t="str">
        <x:v>TP-002</x:v>
      </x:c>
      <x:c r="B7" s="82" t="str">
        <x:v>CCU-TRACTION-MOTOR</x:v>
      </x:c>
      <x:c r="C7" s="82" t="str">
        <x:v>电动汽车驱动电机</x:v>
      </x:c>
      <x:c r="D7" s="82" t="str">
        <x:v>part.rated_output_kw</x:v>
      </x:c>
      <x:c r="E7" s="82" t="str">
        <x:v>连续额定输出功率</x:v>
      </x:c>
      <x:c r="F7" s="82" t="str">
        <x:v>是</x:v>
      </x:c>
      <x:c r="G7" s="82" t="str">
        <x:v>数值</x:v>
      </x:c>
      <x:c r="H7" s="82" t="str">
        <x:v>kW</x:v>
      </x:c>
      <x:c r="I7" s="82" t="str"/>
      <x:c r="J7" s="82" t="str">
        <x:v>不得填峰值功率；如仅有峰值须在备注说明。</x:v>
      </x:c>
      <x:c r="K7" s="95"/>
      <x:c r="L7" s="84"/>
      <x:c r="M7" s="84" t="str">
        <x:v>电驱系统工程</x:v>
      </x:c>
      <x:c r="N7" s="84"/>
      <x:c r="O7" s="88"/>
      <x:c r="P7" s="84" t="str">
        <x:v>待填报</x:v>
      </x:c>
      <x:c r="Q7" s="84"/>
      <x:c r="R7" s="94" t="str">
        <x:v>直接选择8501521200/2200/3200或8501531000。</x:v>
      </x:c>
      <x:c r="S7" s="94" t="str">
        <x:v>P.U. (A) 384/2025 pp.1074-1075</x:v>
      </x:c>
    </x:row>
    <x:row r="8" ht="46" customHeight="1">
      <x:c r="A8" s="82" t="str">
        <x:v>TP-003</x:v>
      </x:c>
      <x:c r="B8" s="82" t="str">
        <x:v>CCU-TRACTION-MOTOR</x:v>
      </x:c>
      <x:c r="C8" s="82" t="str">
        <x:v>电动汽车驱动电机</x:v>
      </x:c>
      <x:c r="D8" s="82" t="str">
        <x:v>part.output_power_basis</x:v>
      </x:c>
      <x:c r="E8" s="82" t="str">
        <x:v>输出功率口径</x:v>
      </x:c>
      <x:c r="F8" s="82" t="str">
        <x:v>是</x:v>
      </x:c>
      <x:c r="G8" s="82" t="str">
        <x:v>枚举</x:v>
      </x:c>
      <x:c r="H8" s="82" t="str"/>
      <x:c r="I8" s="82" t="str">
        <x:v>CONTINUOUS_RATED</x:v>
      </x:c>
      <x:c r="J8" s="82" t="str">
        <x:v>CONTINUOUS_RATED / MAXIMUM_30MIN / PEAK / UNKNOWN；说明功率是否为连续额定值。</x:v>
      </x:c>
      <x:c r="K8" s="84"/>
      <x:c r="L8" s="84"/>
      <x:c r="M8" s="84" t="str">
        <x:v>电驱系统工程</x:v>
      </x:c>
      <x:c r="N8" s="84"/>
      <x:c r="O8" s="88"/>
      <x:c r="P8" s="84" t="str">
        <x:v>待填报</x:v>
      </x:c>
      <x:c r="Q8" s="84"/>
      <x:c r="R8" s="94" t="str">
        <x:v>防止用峰值功率错误选择税号。</x:v>
      </x:c>
      <x:c r="S8" s="94" t="str">
        <x:v>P.U. (A) 384/2025 pp.1074-1075</x:v>
      </x:c>
    </x:row>
    <x:row r="9" ht="46" customHeight="1">
      <x:c r="A9" s="82" t="str">
        <x:v>TP-004</x:v>
      </x:c>
      <x:c r="B9" s="82" t="str">
        <x:v>CCU-TRACTION-MOTOR</x:v>
      </x:c>
      <x:c r="C9" s="82" t="str">
        <x:v>电动汽车驱动电机</x:v>
      </x:c>
      <x:c r="D9" s="82" t="str">
        <x:v>part.primary_function</x:v>
      </x:c>
      <x:c r="E9" s="82" t="str">
        <x:v>主要功能</x:v>
      </x:c>
      <x:c r="F9" s="82" t="str">
        <x:v>是</x:v>
      </x:c>
      <x:c r="G9" s="82" t="str">
        <x:v>枚举</x:v>
      </x:c>
      <x:c r="H9" s="82" t="str"/>
      <x:c r="I9" s="82" t="str">
        <x:v>TRACTION_MOTOR</x:v>
      </x:c>
      <x:c r="J9" s="82" t="str">
        <x:v>TRACTION_MOTOR / MOTOR_GENERATOR / INTEGRATED_EDRIVE / OTHER；填写整机主要功能。</x:v>
      </x:c>
      <x:c r="K9" s="84"/>
      <x:c r="L9" s="84"/>
      <x:c r="M9" s="84" t="str">
        <x:v>电驱系统工程</x:v>
      </x:c>
      <x:c r="N9" s="84"/>
      <x:c r="O9" s="88"/>
      <x:c r="P9" s="84" t="str">
        <x:v>待填报</x:v>
      </x:c>
      <x:c r="Q9" s="84"/>
      <x:c r="R9" s="94" t="str">
        <x:v>确认归入电动机而非集成驱动总成。</x:v>
      </x:c>
      <x:c r="S9" s="94" t="str">
        <x:v>P.U. (A) 384/2025 pp.1074-1075</x:v>
      </x:c>
    </x:row>
    <x:row r="10" ht="46" customHeight="1">
      <x:c r="A10" s="82" t="str">
        <x:v>TP-005</x:v>
      </x:c>
      <x:c r="B10" s="82" t="str">
        <x:v>CCU-TRACTION-MOTOR</x:v>
      </x:c>
      <x:c r="C10" s="82" t="str">
        <x:v>电动汽车驱动电机</x:v>
      </x:c>
      <x:c r="D10" s="82" t="str">
        <x:v>part.integrated_gearbox</x:v>
      </x:c>
      <x:c r="E10" s="82" t="str">
        <x:v>是否集成减速器/齿轮箱</x:v>
      </x:c>
      <x:c r="F10" s="82" t="str">
        <x:v>是</x:v>
      </x:c>
      <x:c r="G10" s="82" t="str">
        <x:v>布尔</x:v>
      </x:c>
      <x:c r="H10" s="82" t="str"/>
      <x:c r="I10" s="82" t="str"/>
      <x:c r="J10" s="82" t="str">
        <x:v>是 / 否 / 待确认；以不可分离装配状态判断。</x:v>
      </x:c>
      <x:c r="K10" s="84"/>
      <x:c r="L10" s="84"/>
      <x:c r="M10" s="84" t="str">
        <x:v>电驱系统工程</x:v>
      </x:c>
      <x:c r="N10" s="84"/>
      <x:c r="O10" s="88"/>
      <x:c r="P10" s="84" t="str">
        <x:v>待填报</x:v>
      </x:c>
      <x:c r="Q10" s="84"/>
      <x:c r="R10" s="94" t="str">
        <x:v>可能触发组合机器/主要功能分析。</x:v>
      </x:c>
      <x:c r="S10" s="94" t="str">
        <x:v>P.U. (A) 384/2025 pp.1074-1075</x:v>
      </x:c>
    </x:row>
    <x:row r="11" ht="46" customHeight="1">
      <x:c r="A11" s="82" t="str">
        <x:v>TP-006</x:v>
      </x:c>
      <x:c r="B11" s="82" t="str">
        <x:v>CCU-TRACTION-MOTOR</x:v>
      </x:c>
      <x:c r="C11" s="82" t="str">
        <x:v>电动汽车驱动电机</x:v>
      </x:c>
      <x:c r="D11" s="82" t="str">
        <x:v>part.integrated_inverter</x:v>
      </x:c>
      <x:c r="E11" s="82" t="str">
        <x:v>是否集成逆变器</x:v>
      </x:c>
      <x:c r="F11" s="82" t="str">
        <x:v>是</x:v>
      </x:c>
      <x:c r="G11" s="82" t="str">
        <x:v>布尔</x:v>
      </x:c>
      <x:c r="H11" s="82" t="str"/>
      <x:c r="I11" s="82" t="str"/>
      <x:c r="J11" s="82" t="str">
        <x:v>是 / 否 / 待确认；以进口呈验状态判断。</x:v>
      </x:c>
      <x:c r="K11" s="84"/>
      <x:c r="L11" s="84"/>
      <x:c r="M11" s="84" t="str">
        <x:v>电驱系统工程</x:v>
      </x:c>
      <x:c r="N11" s="84"/>
      <x:c r="O11" s="88"/>
      <x:c r="P11" s="84" t="str">
        <x:v>待填报</x:v>
      </x:c>
      <x:c r="Q11" s="84"/>
      <x:c r="R11" s="94" t="str">
        <x:v>可能改变8501单独归类结论。</x:v>
      </x:c>
      <x:c r="S11" s="94" t="str">
        <x:v>P.U. (A) 384/2025 pp.1074-1075</x:v>
      </x:c>
    </x:row>
    <x:row r="12" ht="46" customHeight="1">
      <x:c r="A12" s="82" t="str">
        <x:v>TP-007</x:v>
      </x:c>
      <x:c r="B12" s="82" t="str">
        <x:v>CCU-TRACTION-MOTOR</x:v>
      </x:c>
      <x:c r="C12" s="82" t="str">
        <x:v>电动汽车驱动电机</x:v>
      </x:c>
      <x:c r="D12" s="82" t="str">
        <x:v>vehicle.chapter</x:v>
      </x:c>
      <x:c r="E12" s="82" t="str">
        <x:v>适用车辆章</x:v>
      </x:c>
      <x:c r="F12" s="82" t="str">
        <x:v>是</x:v>
      </x:c>
      <x:c r="G12" s="82" t="str">
        <x:v>文本</x:v>
      </x:c>
      <x:c r="H12" s="82" t="str"/>
      <x:c r="I12" s="82" t="str">
        <x:v>87</x:v>
      </x:c>
      <x:c r="J12" s="82" t="str">
        <x:v>通常为87；如非车辆用须说明。</x:v>
      </x:c>
      <x:c r="K12" s="84"/>
      <x:c r="L12" s="84"/>
      <x:c r="M12" s="84" t="str">
        <x:v>电驱系统工程</x:v>
      </x:c>
      <x:c r="N12" s="84"/>
      <x:c r="O12" s="88"/>
      <x:c r="P12" s="84" t="str">
        <x:v>待填报</x:v>
      </x:c>
      <x:c r="Q12" s="84"/>
      <x:c r="R12" s="94" t="str">
        <x:v>车辆专用国家税号条件。</x:v>
      </x:c>
      <x:c r="S12" s="94" t="str">
        <x:v>P.U. (A) 384/2025 pp.1074-1075</x:v>
      </x:c>
    </x:row>
    <x:row r="13" ht="46" customHeight="1">
      <x:c r="A13" s="82" t="str">
        <x:v>TP-008</x:v>
      </x:c>
      <x:c r="B13" s="82" t="str">
        <x:v>CCU-TRACTION-MOTOR</x:v>
      </x:c>
      <x:c r="C13" s="82" t="str">
        <x:v>电动汽车驱动电机</x:v>
      </x:c>
      <x:c r="D13" s="82" t="str">
        <x:v>vehicle.intended_heading</x:v>
      </x:c>
      <x:c r="E13" s="82" t="str">
        <x:v>目标整车品目</x:v>
      </x:c>
      <x:c r="F13" s="82" t="str">
        <x:v>是</x:v>
      </x:c>
      <x:c r="G13" s="82" t="str">
        <x:v>枚举</x:v>
      </x:c>
      <x:c r="H13" s="82" t="str"/>
      <x:c r="I13" s="82" t="str">
        <x:v>8703</x:v>
      </x:c>
      <x:c r="J13" s="82" t="str">
        <x:v>8701 / 8702 / 8703 / 8704 / 8705 / OTHER；乘用车项目通常填写8703。</x:v>
      </x:c>
      <x:c r="K13" s="84"/>
      <x:c r="L13" s="84"/>
      <x:c r="M13" s="84" t="str">
        <x:v>电驱系统工程</x:v>
      </x:c>
      <x:c r="N13" s="84"/>
      <x:c r="O13" s="88"/>
      <x:c r="P13" s="84" t="str">
        <x:v>待填报</x:v>
      </x:c>
      <x:c r="Q13" s="84"/>
      <x:c r="R13" s="94" t="str">
        <x:v>验证车辆用途。</x:v>
      </x:c>
      <x:c r="S13" s="94" t="str">
        <x:v>P.U. (A) 384/2025 pp.1074-1075</x:v>
      </x:c>
    </x:row>
    <x:row r="14" ht="46" customHeight="1">
      <x:c r="A14" s="82" t="str">
        <x:v>TP-009</x:v>
      </x:c>
      <x:c r="B14" s="82" t="str">
        <x:v>CCU-TRACTION-MOTOR</x:v>
      </x:c>
      <x:c r="C14" s="82" t="str">
        <x:v>电动汽车驱动电机</x:v>
      </x:c>
      <x:c r="D14" s="82" t="str">
        <x:v>shipment.assembly_state</x:v>
      </x:c>
      <x:c r="E14" s="82" t="str">
        <x:v>进口呈验状态</x:v>
      </x:c>
      <x:c r="F14" s="82" t="str">
        <x:v>是</x:v>
      </x:c>
      <x:c r="G14" s="82" t="str">
        <x:v>枚举</x:v>
      </x:c>
      <x:c r="H14" s="82" t="str"/>
      <x:c r="I14" s="82" t="str">
        <x:v>COMPLETE</x:v>
      </x:c>
      <x:c r="J14" s="82" t="str">
        <x:v>COMPLETE / INCOMPLETE / UNASSEMBLED / DISASSEMBLED / MIXED / UNKNOWN；按报关批次实际状态填写。</x:v>
      </x:c>
      <x:c r="K14" s="84"/>
      <x:c r="L14" s="84"/>
      <x:c r="M14" s="84" t="str">
        <x:v>物流包装</x:v>
      </x:c>
      <x:c r="N14" s="84"/>
      <x:c r="O14" s="88"/>
      <x:c r="P14" s="84" t="str">
        <x:v>待填报</x:v>
      </x:c>
      <x:c r="Q14" s="84"/>
      <x:c r="R14" s="94" t="str">
        <x:v>影响GRI 2(a)及总成边界。</x:v>
      </x:c>
      <x:c r="S14" s="94" t="str">
        <x:v>P.U. (A) 384/2025 pp.1074-1075</x:v>
      </x:c>
    </x:row>
    <x:row r="15" ht="46" customHeight="1">
      <x:c r="A15" s="82" t="str">
        <x:v>TP-010</x:v>
      </x:c>
      <x:c r="B15" s="82" t="str">
        <x:v>CCU-TRACTION-INVERTER</x:v>
      </x:c>
      <x:c r="C15" s="82" t="str">
        <x:v>驱动逆变器</x:v>
      </x:c>
      <x:c r="D15" s="82" t="str">
        <x:v>part.primary_function</x:v>
      </x:c>
      <x:c r="E15" s="82" t="str">
        <x:v>主要功能</x:v>
      </x:c>
      <x:c r="F15" s="82" t="str">
        <x:v>是</x:v>
      </x:c>
      <x:c r="G15" s="82" t="str">
        <x:v>枚举</x:v>
      </x:c>
      <x:c r="H15" s="82" t="str"/>
      <x:c r="I15" s="82" t="str">
        <x:v>DC_TO_CONTROLLED_MOTOR_CURRENT</x:v>
      </x:c>
      <x:c r="J15" s="82" t="str">
        <x:v>DC_TO_CONTROLLED_MOTOR_CURRENT / AC_TO_DC_RECTIFICATION / DC_TO_DC_CONVERSION / MULTIFUNCTION；说明能量转换方向。</x:v>
      </x:c>
      <x:c r="K15" s="84"/>
      <x:c r="L15" s="84"/>
      <x:c r="M15" s="84" t="str">
        <x:v>功率电子工程</x:v>
      </x:c>
      <x:c r="N15" s="84"/>
      <x:c r="O15" s="88"/>
      <x:c r="P15" s="84" t="str">
        <x:v>待填报</x:v>
      </x:c>
      <x:c r="Q15" s="84"/>
      <x:c r="R15" s="94" t="str">
        <x:v>满足8504404000逆变器条件。</x:v>
      </x:c>
      <x:c r="S15" s="94" t="str">
        <x:v>CCU Master + JKDM HS Explorer PDK 2025</x:v>
      </x:c>
    </x:row>
    <x:row r="16" ht="46" customHeight="1">
      <x:c r="A16" s="82" t="str">
        <x:v>TP-011</x:v>
      </x:c>
      <x:c r="B16" s="82" t="str">
        <x:v>CCU-TRACTION-INVERTER</x:v>
      </x:c>
      <x:c r="C16" s="82" t="str">
        <x:v>驱动逆变器</x:v>
      </x:c>
      <x:c r="D16" s="82" t="str">
        <x:v>part.input_voltage_v</x:v>
      </x:c>
      <x:c r="E16" s="82" t="str">
        <x:v>额定输入电压</x:v>
      </x:c>
      <x:c r="F16" s="82" t="str">
        <x:v>是</x:v>
      </x:c>
      <x:c r="G16" s="82" t="str">
        <x:v>数值</x:v>
      </x:c>
      <x:c r="H16" s="82" t="str">
        <x:v>V</x:v>
      </x:c>
      <x:c r="I16" s="82" t="str"/>
      <x:c r="J16" s="82" t="str">
        <x:v>填写额定范围时在备注中列明。</x:v>
      </x:c>
      <x:c r="K16" s="95"/>
      <x:c r="L16" s="84"/>
      <x:c r="M16" s="84" t="str">
        <x:v>功率电子工程</x:v>
      </x:c>
      <x:c r="N16" s="84"/>
      <x:c r="O16" s="88"/>
      <x:c r="P16" s="84" t="str">
        <x:v>待填报</x:v>
      </x:c>
      <x:c r="Q16" s="84"/>
      <x:c r="R16" s="94" t="str">
        <x:v>辅助验证高压车辆用途。</x:v>
      </x:c>
      <x:c r="S16" s="94" t="str">
        <x:v>CCU Master + JKDM HS Explorer PDK 2025</x:v>
      </x:c>
    </x:row>
    <x:row r="17" ht="46" customHeight="1">
      <x:c r="A17" s="82" t="str">
        <x:v>TP-012</x:v>
      </x:c>
      <x:c r="B17" s="82" t="str">
        <x:v>CCU-TRACTION-INVERTER</x:v>
      </x:c>
      <x:c r="C17" s="82" t="str">
        <x:v>驱动逆变器</x:v>
      </x:c>
      <x:c r="D17" s="82" t="str">
        <x:v>part.output_power_kw</x:v>
      </x:c>
      <x:c r="E17" s="82" t="str">
        <x:v>额定输出功率</x:v>
      </x:c>
      <x:c r="F17" s="82" t="str">
        <x:v>是</x:v>
      </x:c>
      <x:c r="G17" s="82" t="str">
        <x:v>数值</x:v>
      </x:c>
      <x:c r="H17" s="82" t="str">
        <x:v>kW</x:v>
      </x:c>
      <x:c r="I17" s="82" t="str"/>
      <x:c r="J17" s="82" t="str">
        <x:v>使用连续额定值。</x:v>
      </x:c>
      <x:c r="K17" s="95"/>
      <x:c r="L17" s="84"/>
      <x:c r="M17" s="84" t="str">
        <x:v>功率电子工程</x:v>
      </x:c>
      <x:c r="N17" s="84"/>
      <x:c r="O17" s="88"/>
      <x:c r="P17" s="84" t="str">
        <x:v>待填报</x:v>
      </x:c>
      <x:c r="Q17" s="84"/>
      <x:c r="R17" s="94" t="str">
        <x:v>辅助验证产品规格。</x:v>
      </x:c>
      <x:c r="S17" s="94" t="str">
        <x:v>CCU Master + JKDM HS Explorer PDK 2025</x:v>
      </x:c>
    </x:row>
    <x:row r="18" ht="46" customHeight="1">
      <x:c r="A18" s="82" t="str">
        <x:v>TP-013</x:v>
      </x:c>
      <x:c r="B18" s="82" t="str">
        <x:v>CCU-TRACTION-INVERTER</x:v>
      </x:c>
      <x:c r="C18" s="82" t="str">
        <x:v>驱动逆变器</x:v>
      </x:c>
      <x:c r="D18" s="82" t="str">
        <x:v>part.output_current_type</x:v>
      </x:c>
      <x:c r="E18" s="82" t="str">
        <x:v>输出电流形式</x:v>
      </x:c>
      <x:c r="F18" s="82" t="str">
        <x:v>是</x:v>
      </x:c>
      <x:c r="G18" s="82" t="str">
        <x:v>枚举</x:v>
      </x:c>
      <x:c r="H18" s="82" t="str"/>
      <x:c r="I18" s="82" t="str">
        <x:v>CONTROLLED_AC</x:v>
      </x:c>
      <x:c r="J18" s="82" t="str">
        <x:v>CONTROLLED_AC / DC / OTHER；说明输出至电机的电流形式。</x:v>
      </x:c>
      <x:c r="K18" s="84"/>
      <x:c r="L18" s="84"/>
      <x:c r="M18" s="84" t="str">
        <x:v>功率电子工程</x:v>
      </x:c>
      <x:c r="N18" s="84"/>
      <x:c r="O18" s="88"/>
      <x:c r="P18" s="84" t="str">
        <x:v>待填报</x:v>
      </x:c>
      <x:c r="Q18" s="84"/>
      <x:c r="R18" s="94" t="str">
        <x:v>确认逆变器主功能。</x:v>
      </x:c>
      <x:c r="S18" s="94" t="str">
        <x:v>CCU Master + JKDM HS Explorer PDK 2025</x:v>
      </x:c>
    </x:row>
    <x:row r="19" ht="46" customHeight="1">
      <x:c r="A19" s="82" t="str">
        <x:v>TP-014</x:v>
      </x:c>
      <x:c r="B19" s="82" t="str">
        <x:v>CCU-TRACTION-INVERTER</x:v>
      </x:c>
      <x:c r="C19" s="82" t="str">
        <x:v>驱动逆变器</x:v>
      </x:c>
      <x:c r="D19" s="82" t="str">
        <x:v>part.integrated_motor_controller</x:v>
      </x:c>
      <x:c r="E19" s="82" t="str">
        <x:v>是否集成电机控制器</x:v>
      </x:c>
      <x:c r="F19" s="82" t="str">
        <x:v>是</x:v>
      </x:c>
      <x:c r="G19" s="82" t="str">
        <x:v>布尔</x:v>
      </x:c>
      <x:c r="H19" s="82" t="str"/>
      <x:c r="I19" s="82" t="str"/>
      <x:c r="J19" s="82" t="str">
        <x:v>是 / 否 / 待确认；说明控制板是否同壳体。</x:v>
      </x:c>
      <x:c r="K19" s="84"/>
      <x:c r="L19" s="84"/>
      <x:c r="M19" s="84" t="str">
        <x:v>功率电子工程</x:v>
      </x:c>
      <x:c r="N19" s="84"/>
      <x:c r="O19" s="88"/>
      <x:c r="P19" s="84" t="str">
        <x:v>待填报</x:v>
      </x:c>
      <x:c r="Q19" s="84"/>
      <x:c r="R19" s="94" t="str">
        <x:v>通常不排除逆变器，但需记录。</x:v>
      </x:c>
      <x:c r="S19" s="94" t="str">
        <x:v>CCU Master + JKDM HS Explorer PDK 2025</x:v>
      </x:c>
    </x:row>
    <x:row r="20" ht="46" customHeight="1">
      <x:c r="A20" s="82" t="str">
        <x:v>TP-015</x:v>
      </x:c>
      <x:c r="B20" s="82" t="str">
        <x:v>CCU-TRACTION-INVERTER</x:v>
      </x:c>
      <x:c r="C20" s="82" t="str">
        <x:v>驱动逆变器</x:v>
      </x:c>
      <x:c r="D20" s="82" t="str">
        <x:v>part.integrated_dc_dc</x:v>
      </x:c>
      <x:c r="E20" s="82" t="str">
        <x:v>是否集成DC-DC</x:v>
      </x:c>
      <x:c r="F20" s="82" t="str">
        <x:v>是</x:v>
      </x:c>
      <x:c r="G20" s="82" t="str">
        <x:v>布尔</x:v>
      </x:c>
      <x:c r="H20" s="82" t="str"/>
      <x:c r="I20" s="82" t="str"/>
      <x:c r="J20" s="82" t="str">
        <x:v>是 / 否 / 待确认；说明是否可分离。</x:v>
      </x:c>
      <x:c r="K20" s="84"/>
      <x:c r="L20" s="84"/>
      <x:c r="M20" s="84" t="str">
        <x:v>功率电子工程</x:v>
      </x:c>
      <x:c r="N20" s="84"/>
      <x:c r="O20" s="88"/>
      <x:c r="P20" s="84" t="str">
        <x:v>待填报</x:v>
      </x:c>
      <x:c r="Q20" s="84"/>
      <x:c r="R20" s="94" t="str">
        <x:v>可能触发多功能静止式变流器分析。</x:v>
      </x:c>
      <x:c r="S20" s="94" t="str">
        <x:v>CCU Master + JKDM HS Explorer PDK 2025</x:v>
      </x:c>
    </x:row>
    <x:row r="21" ht="46" customHeight="1">
      <x:c r="A21" s="82" t="str">
        <x:v>TP-016</x:v>
      </x:c>
      <x:c r="B21" s="82" t="str">
        <x:v>CCU-TRACTION-INVERTER</x:v>
      </x:c>
      <x:c r="C21" s="82" t="str">
        <x:v>驱动逆变器</x:v>
      </x:c>
      <x:c r="D21" s="82" t="str">
        <x:v>part.integrated_onboard_charger</x:v>
      </x:c>
      <x:c r="E21" s="82" t="str">
        <x:v>是否集成OBC</x:v>
      </x:c>
      <x:c r="F21" s="82" t="str">
        <x:v>是</x:v>
      </x:c>
      <x:c r="G21" s="82" t="str">
        <x:v>布尔</x:v>
      </x:c>
      <x:c r="H21" s="82" t="str"/>
      <x:c r="I21" s="82" t="str"/>
      <x:c r="J21" s="82" t="str">
        <x:v>是 / 否 / 待确认；说明是否可分离。</x:v>
      </x:c>
      <x:c r="K21" s="84"/>
      <x:c r="L21" s="84"/>
      <x:c r="M21" s="84" t="str">
        <x:v>功率电子工程</x:v>
      </x:c>
      <x:c r="N21" s="84"/>
      <x:c r="O21" s="88"/>
      <x:c r="P21" s="84" t="str">
        <x:v>待填报</x:v>
      </x:c>
      <x:c r="Q21" s="84"/>
      <x:c r="R21" s="94" t="str">
        <x:v>可能改变单一8504404000路线。</x:v>
      </x:c>
      <x:c r="S21" s="94" t="str">
        <x:v>CCU Master + JKDM HS Explorer PDK 2025</x:v>
      </x:c>
    </x:row>
    <x:row r="22" ht="46" customHeight="1">
      <x:c r="A22" s="82" t="str">
        <x:v>TP-017</x:v>
      </x:c>
      <x:c r="B22" s="82" t="str">
        <x:v>CCU-TRACTION-INVERTER</x:v>
      </x:c>
      <x:c r="C22" s="82" t="str">
        <x:v>驱动逆变器</x:v>
      </x:c>
      <x:c r="D22" s="82" t="str">
        <x:v>shipment.assembly_state</x:v>
      </x:c>
      <x:c r="E22" s="82" t="str">
        <x:v>进口呈验状态</x:v>
      </x:c>
      <x:c r="F22" s="82" t="str">
        <x:v>是</x:v>
      </x:c>
      <x:c r="G22" s="82" t="str">
        <x:v>枚举</x:v>
      </x:c>
      <x:c r="H22" s="82" t="str"/>
      <x:c r="I22" s="82" t="str">
        <x:v>COMPLETE</x:v>
      </x:c>
      <x:c r="J22" s="82" t="str">
        <x:v>COMPLETE / INCOMPLETE / UNASSEMBLED / DISASSEMBLED / MIXED / UNKNOWN；按报关批次实际状态填写。</x:v>
      </x:c>
      <x:c r="K22" s="84"/>
      <x:c r="L22" s="84"/>
      <x:c r="M22" s="84" t="str">
        <x:v>物流包装</x:v>
      </x:c>
      <x:c r="N22" s="84"/>
      <x:c r="O22" s="88"/>
      <x:c r="P22" s="84" t="str">
        <x:v>待填报</x:v>
      </x:c>
      <x:c r="Q22" s="84"/>
      <x:c r="R22" s="94" t="str">
        <x:v>影响CCU边界。</x:v>
      </x:c>
      <x:c r="S22" s="94" t="str">
        <x:v>CCU Master + JKDM HS Explorer PDK 2025</x:v>
      </x:c>
    </x:row>
    <x:row r="23" ht="46" customHeight="1">
      <x:c r="A23" s="82" t="str">
        <x:v>TP-018</x:v>
      </x:c>
      <x:c r="B23" s="82" t="str">
        <x:v>CCU-ONBOARD-CHARGER</x:v>
      </x:c>
      <x:c r="C23" s="82" t="str">
        <x:v>车载充电机</x:v>
      </x:c>
      <x:c r="D23" s="82" t="str">
        <x:v>part.primary_function</x:v>
      </x:c>
      <x:c r="E23" s="82" t="str">
        <x:v>主要功能</x:v>
      </x:c>
      <x:c r="F23" s="82" t="str">
        <x:v>是</x:v>
      </x:c>
      <x:c r="G23" s="82" t="str">
        <x:v>枚举</x:v>
      </x:c>
      <x:c r="H23" s="82" t="str"/>
      <x:c r="I23" s="82" t="str">
        <x:v>BATTERY_CHARGING</x:v>
      </x:c>
      <x:c r="J23" s="82" t="str">
        <x:v>BATTERY_CHARGING / AC_TO_DC_RECTIFICATION / MULTIFUNCTION / OTHER；说明主要能量转换功能。</x:v>
      </x:c>
      <x:c r="K23" s="84"/>
      <x:c r="L23" s="84"/>
      <x:c r="M23" s="84" t="str">
        <x:v>功率电子工程</x:v>
      </x:c>
      <x:c r="N23" s="84"/>
      <x:c r="O23" s="88"/>
      <x:c r="P23" s="84" t="str">
        <x:v>待填报</x:v>
      </x:c>
      <x:c r="Q23" s="84"/>
      <x:c r="R23" s="94" t="str">
        <x:v>区分充电器、整流器和其他静止式变流器。</x:v>
      </x:c>
      <x:c r="S23" s="94" t="str">
        <x:v>CCU Master + JKDM HS Explorer PDK 2025</x:v>
      </x:c>
    </x:row>
    <x:row r="24" ht="46" customHeight="1">
      <x:c r="A24" s="82" t="str">
        <x:v>TP-019</x:v>
      </x:c>
      <x:c r="B24" s="82" t="str">
        <x:v>CCU-ONBOARD-CHARGER</x:v>
      </x:c>
      <x:c r="C24" s="82" t="str">
        <x:v>车载充电机</x:v>
      </x:c>
      <x:c r="D24" s="82" t="str">
        <x:v>part.rating_kva</x:v>
      </x:c>
      <x:c r="E24" s="82" t="str">
        <x:v>额定容量</x:v>
      </x:c>
      <x:c r="F24" s="82" t="str">
        <x:v>是</x:v>
      </x:c>
      <x:c r="G24" s="82" t="str">
        <x:v>数值</x:v>
      </x:c>
      <x:c r="H24" s="82" t="str">
        <x:v>kVA</x:v>
      </x:c>
      <x:c r="I24" s="82" t="str"/>
      <x:c r="J24" s="82" t="str">
        <x:v>PDK 8504402000门槛为超过100 kVA。</x:v>
      </x:c>
      <x:c r="K24" s="95"/>
      <x:c r="L24" s="84"/>
      <x:c r="M24" s="84" t="str">
        <x:v>功率电子工程</x:v>
      </x:c>
      <x:c r="N24" s="84"/>
      <x:c r="O24" s="88"/>
      <x:c r="P24" s="84" t="str">
        <x:v>待填报</x:v>
      </x:c>
      <x:c r="Q24" s="84"/>
      <x:c r="R24" s="94" t="str">
        <x:v>直接测试8504402000条件。</x:v>
      </x:c>
      <x:c r="S24" s="94" t="str">
        <x:v>CCU Master + JKDM HS Explorer PDK 2025</x:v>
      </x:c>
    </x:row>
    <x:row r="25" ht="46" customHeight="1">
      <x:c r="A25" s="82" t="str">
        <x:v>TP-020</x:v>
      </x:c>
      <x:c r="B25" s="82" t="str">
        <x:v>CCU-ONBOARD-CHARGER</x:v>
      </x:c>
      <x:c r="C25" s="82" t="str">
        <x:v>车载充电机</x:v>
      </x:c>
      <x:c r="D25" s="82" t="str">
        <x:v>part.rated_power_kw</x:v>
      </x:c>
      <x:c r="E25" s="82" t="str">
        <x:v>额定功率</x:v>
      </x:c>
      <x:c r="F25" s="82" t="str">
        <x:v>是</x:v>
      </x:c>
      <x:c r="G25" s="82" t="str">
        <x:v>数值</x:v>
      </x:c>
      <x:c r="H25" s="82" t="str">
        <x:v>kW</x:v>
      </x:c>
      <x:c r="I25" s="82" t="str"/>
      <x:c r="J25" s="82" t="str">
        <x:v>与kVA同时提供。</x:v>
      </x:c>
      <x:c r="K25" s="95"/>
      <x:c r="L25" s="84"/>
      <x:c r="M25" s="84" t="str">
        <x:v>功率电子工程</x:v>
      </x:c>
      <x:c r="N25" s="84"/>
      <x:c r="O25" s="88"/>
      <x:c r="P25" s="84" t="str">
        <x:v>待填报</x:v>
      </x:c>
      <x:c r="Q25" s="84"/>
      <x:c r="R25" s="94" t="str">
        <x:v>辅助功能判断。</x:v>
      </x:c>
      <x:c r="S25" s="94" t="str">
        <x:v>CCU Master + JKDM HS Explorer PDK 2025</x:v>
      </x:c>
    </x:row>
    <x:row r="26" ht="46" customHeight="1">
      <x:c r="A26" s="82" t="str">
        <x:v>TP-021</x:v>
      </x:c>
      <x:c r="B26" s="82" t="str">
        <x:v>CCU-ONBOARD-CHARGER</x:v>
      </x:c>
      <x:c r="C26" s="82" t="str">
        <x:v>车载充电机</x:v>
      </x:c>
      <x:c r="D26" s="82" t="str">
        <x:v>part.ac_input_phase</x:v>
      </x:c>
      <x:c r="E26" s="82" t="str">
        <x:v>交流输入相数</x:v>
      </x:c>
      <x:c r="F26" s="82" t="str">
        <x:v>是</x:v>
      </x:c>
      <x:c r="G26" s="82" t="str">
        <x:v>枚举</x:v>
      </x:c>
      <x:c r="H26" s="82" t="str"/>
      <x:c r="I26" s="82" t="str"/>
      <x:c r="J26" s="82" t="str">
        <x:v>SINGLE_PHASE / THREE_PHASE / MULTI_MODE / UNKNOWN；按规格书填写。</x:v>
      </x:c>
      <x:c r="K26" s="84"/>
      <x:c r="L26" s="84"/>
      <x:c r="M26" s="84" t="str">
        <x:v>功率电子工程</x:v>
      </x:c>
      <x:c r="N26" s="84"/>
      <x:c r="O26" s="88"/>
      <x:c r="P26" s="84" t="str">
        <x:v>待填报</x:v>
      </x:c>
      <x:c r="Q26" s="84"/>
      <x:c r="R26" s="94" t="str">
        <x:v>产品技术限定。</x:v>
      </x:c>
      <x:c r="S26" s="94" t="str">
        <x:v>CCU Master + JKDM HS Explorer PDK 2025</x:v>
      </x:c>
    </x:row>
    <x:row r="27" ht="46" customHeight="1">
      <x:c r="A27" s="82" t="str">
        <x:v>TP-022</x:v>
      </x:c>
      <x:c r="B27" s="82" t="str">
        <x:v>CCU-ONBOARD-CHARGER</x:v>
      </x:c>
      <x:c r="C27" s="82" t="str">
        <x:v>车载充电机</x:v>
      </x:c>
      <x:c r="D27" s="82" t="str">
        <x:v>part.ac_input_voltage_v</x:v>
      </x:c>
      <x:c r="E27" s="82" t="str">
        <x:v>交流输入电压范围</x:v>
      </x:c>
      <x:c r="F27" s="82" t="str">
        <x:v>是</x:v>
      </x:c>
      <x:c r="G27" s="82" t="str">
        <x:v>文本</x:v>
      </x:c>
      <x:c r="H27" s="82" t="str">
        <x:v>V</x:v>
      </x:c>
      <x:c r="I27" s="82" t="str"/>
      <x:c r="J27" s="82" t="str">
        <x:v>例如220-240或380-415。</x:v>
      </x:c>
      <x:c r="K27" s="84"/>
      <x:c r="L27" s="84"/>
      <x:c r="M27" s="84" t="str">
        <x:v>功率电子工程</x:v>
      </x:c>
      <x:c r="N27" s="84"/>
      <x:c r="O27" s="88"/>
      <x:c r="P27" s="84" t="str">
        <x:v>待填报</x:v>
      </x:c>
      <x:c r="Q27" s="84"/>
      <x:c r="R27" s="94" t="str">
        <x:v>产品技术限定。</x:v>
      </x:c>
      <x:c r="S27" s="94" t="str">
        <x:v>CCU Master + JKDM HS Explorer PDK 2025</x:v>
      </x:c>
    </x:row>
    <x:row r="28" ht="46" customHeight="1">
      <x:c r="A28" s="82" t="str">
        <x:v>TP-023</x:v>
      </x:c>
      <x:c r="B28" s="82" t="str">
        <x:v>CCU-ONBOARD-CHARGER</x:v>
      </x:c>
      <x:c r="C28" s="82" t="str">
        <x:v>车载充电机</x:v>
      </x:c>
      <x:c r="D28" s="82" t="str">
        <x:v>part.bidirectional</x:v>
      </x:c>
      <x:c r="E28" s="82" t="str">
        <x:v>是否双向V2G/V2L</x:v>
      </x:c>
      <x:c r="F28" s="82" t="str">
        <x:v>是</x:v>
      </x:c>
      <x:c r="G28" s="82" t="str">
        <x:v>布尔</x:v>
      </x:c>
      <x:c r="H28" s="82" t="str"/>
      <x:c r="I28" s="82" t="str"/>
      <x:c r="J28" s="82" t="str">
        <x:v>是 / 否 / 待确认；说明反向输出能力。</x:v>
      </x:c>
      <x:c r="K28" s="84"/>
      <x:c r="L28" s="84"/>
      <x:c r="M28" s="84" t="str">
        <x:v>功率电子工程</x:v>
      </x:c>
      <x:c r="N28" s="84"/>
      <x:c r="O28" s="88"/>
      <x:c r="P28" s="84" t="str">
        <x:v>待填报</x:v>
      </x:c>
      <x:c r="Q28" s="84"/>
      <x:c r="R28" s="94" t="str">
        <x:v>可能影响主要功能分析。</x:v>
      </x:c>
      <x:c r="S28" s="94" t="str">
        <x:v>CCU Master + JKDM HS Explorer PDK 2025</x:v>
      </x:c>
    </x:row>
    <x:row r="29" ht="46" customHeight="1">
      <x:c r="A29" s="82" t="str">
        <x:v>TP-024</x:v>
      </x:c>
      <x:c r="B29" s="82" t="str">
        <x:v>CCU-ONBOARD-CHARGER</x:v>
      </x:c>
      <x:c r="C29" s="82" t="str">
        <x:v>车载充电机</x:v>
      </x:c>
      <x:c r="D29" s="82" t="str">
        <x:v>part.integrated_dc_dc</x:v>
      </x:c>
      <x:c r="E29" s="82" t="str">
        <x:v>是否集成DC-DC</x:v>
      </x:c>
      <x:c r="F29" s="82" t="str">
        <x:v>是</x:v>
      </x:c>
      <x:c r="G29" s="82" t="str">
        <x:v>布尔</x:v>
      </x:c>
      <x:c r="H29" s="82" t="str"/>
      <x:c r="I29" s="82" t="str"/>
      <x:c r="J29" s="82" t="str">
        <x:v>是 / 否 / 待确认；说明是否可分离。</x:v>
      </x:c>
      <x:c r="K29" s="84"/>
      <x:c r="L29" s="84"/>
      <x:c r="M29" s="84" t="str">
        <x:v>功率电子工程</x:v>
      </x:c>
      <x:c r="N29" s="84"/>
      <x:c r="O29" s="88"/>
      <x:c r="P29" s="84" t="str">
        <x:v>待填报</x:v>
      </x:c>
      <x:c r="Q29" s="84"/>
      <x:c r="R29" s="94" t="str">
        <x:v>可能触发多功能设备分析。</x:v>
      </x:c>
      <x:c r="S29" s="94" t="str">
        <x:v>CCU Master + JKDM HS Explorer PDK 2025</x:v>
      </x:c>
    </x:row>
    <x:row r="30" ht="46" customHeight="1">
      <x:c r="A30" s="82" t="str">
        <x:v>TP-025</x:v>
      </x:c>
      <x:c r="B30" s="82" t="str">
        <x:v>CCU-ONBOARD-CHARGER</x:v>
      </x:c>
      <x:c r="C30" s="82" t="str">
        <x:v>车载充电机</x:v>
      </x:c>
      <x:c r="D30" s="82" t="str">
        <x:v>part.wireless_wpt_function</x:v>
      </x:c>
      <x:c r="E30" s="82" t="str">
        <x:v>是否具备无线充电/WPT</x:v>
      </x:c>
      <x:c r="F30" s="82" t="str">
        <x:v>是</x:v>
      </x:c>
      <x:c r="G30" s="82" t="str">
        <x:v>布尔</x:v>
      </x:c>
      <x:c r="H30" s="82" t="str"/>
      <x:c r="I30" s="82" t="str">
        <x:v>否</x:v>
      </x:c>
      <x:c r="J30" s="82" t="str">
        <x:v>是 / 否 / 待确认；8504409000监管页单列WPT。</x:v>
      </x:c>
      <x:c r="K30" s="84"/>
      <x:c r="L30" s="84"/>
      <x:c r="M30" s="84" t="str">
        <x:v>功率电子工程</x:v>
      </x:c>
      <x:c r="N30" s="84"/>
      <x:c r="O30" s="88"/>
      <x:c r="P30" s="84" t="str">
        <x:v>待填报</x:v>
      </x:c>
      <x:c r="Q30" s="84"/>
      <x:c r="R30" s="94" t="str">
        <x:v>决定SIRIM相关监管核查。</x:v>
      </x:c>
      <x:c r="S30" s="94" t="str">
        <x:v>CCU Master + JKDM HS Explorer PDK 2025</x:v>
      </x:c>
    </x:row>
    <x:row r="31" ht="46" customHeight="1">
      <x:c r="A31" s="82" t="str">
        <x:v>TP-026</x:v>
      </x:c>
      <x:c r="B31" s="82" t="str">
        <x:v>CCU-ONBOARD-CHARGER</x:v>
      </x:c>
      <x:c r="C31" s="82" t="str">
        <x:v>车载充电机</x:v>
      </x:c>
      <x:c r="D31" s="82" t="str">
        <x:v>part.domestic_electrical_apparatus_scope</x:v>
      </x:c>
      <x:c r="E31" s="82" t="str">
        <x:v>是否属于家用电器/适配器监管描述</x:v>
      </x:c>
      <x:c r="F31" s="82" t="str">
        <x:v>是</x:v>
      </x:c>
      <x:c r="G31" s="82" t="str">
        <x:v>枚举</x:v>
      </x:c>
      <x:c r="H31" s="82" t="str"/>
      <x:c r="I31" s="82" t="str">
        <x:v>待确认</x:v>
      </x:c>
      <x:c r="J31" s="82" t="str">
        <x:v>是 / 否 / 待确认；由法规认证和关务联合判断。</x:v>
      </x:c>
      <x:c r="K31" s="84"/>
      <x:c r="L31" s="84"/>
      <x:c r="M31" s="84" t="str">
        <x:v>法规认证</x:v>
      </x:c>
      <x:c r="N31" s="84"/>
      <x:c r="O31" s="88"/>
      <x:c r="P31" s="84" t="str">
        <x:v>待填报</x:v>
      </x:c>
      <x:c r="Q31" s="84"/>
      <x:c r="R31" s="94" t="str">
        <x:v>决定能源委员会批准/豁免核查。</x:v>
      </x:c>
      <x:c r="S31" s="94" t="str">
        <x:v>CCU Master + JKDM HS Explorer PDK 2025</x:v>
      </x:c>
    </x:row>
    <x:row r="32" ht="46" customHeight="1">
      <x:c r="A32" s="82" t="str">
        <x:v>TP-027</x:v>
      </x:c>
      <x:c r="B32" s="82" t="str">
        <x:v>CCU-ONBOARD-CHARGER</x:v>
      </x:c>
      <x:c r="C32" s="82" t="str">
        <x:v>车载充电机</x:v>
      </x:c>
      <x:c r="D32" s="82" t="str">
        <x:v>shipment.assembly_state</x:v>
      </x:c>
      <x:c r="E32" s="82" t="str">
        <x:v>进口呈验状态</x:v>
      </x:c>
      <x:c r="F32" s="82" t="str">
        <x:v>是</x:v>
      </x:c>
      <x:c r="G32" s="82" t="str">
        <x:v>枚举</x:v>
      </x:c>
      <x:c r="H32" s="82" t="str"/>
      <x:c r="I32" s="82" t="str">
        <x:v>COMPLETE</x:v>
      </x:c>
      <x:c r="J32" s="82" t="str">
        <x:v>COMPLETE / INCOMPLETE / UNASSEMBLED / DISASSEMBLED / MIXED / UNKNOWN；按报关批次实际状态填写。</x:v>
      </x:c>
      <x:c r="K32" s="84"/>
      <x:c r="L32" s="84"/>
      <x:c r="M32" s="84" t="str">
        <x:v>物流包装</x:v>
      </x:c>
      <x:c r="N32" s="84"/>
      <x:c r="O32" s="88"/>
      <x:c r="P32" s="84" t="str">
        <x:v>待填报</x:v>
      </x:c>
      <x:c r="Q32" s="84"/>
      <x:c r="R32" s="94" t="str">
        <x:v>影响CCU边界。</x:v>
      </x:c>
      <x:c r="S32" s="94" t="str">
        <x:v>CCU Master + JKDM HS Explorer PDK 2025</x:v>
      </x:c>
    </x:row>
    <x:row r="33" ht="46" customHeight="1">
      <x:c r="A33" s="82" t="str">
        <x:v>TP-028</x:v>
      </x:c>
      <x:c r="B33" s="82" t="str">
        <x:v>CCU-DC-DC-CONVERTER</x:v>
      </x:c>
      <x:c r="C33" s="82" t="str">
        <x:v>车载直流变换器</x:v>
      </x:c>
      <x:c r="D33" s="82" t="str">
        <x:v>part.primary_function</x:v>
      </x:c>
      <x:c r="E33" s="82" t="str">
        <x:v>主要功能</x:v>
      </x:c>
      <x:c r="F33" s="82" t="str">
        <x:v>是</x:v>
      </x:c>
      <x:c r="G33" s="82" t="str">
        <x:v>枚举</x:v>
      </x:c>
      <x:c r="H33" s="82" t="str"/>
      <x:c r="I33" s="82" t="str">
        <x:v>DC_TO_DC_CONVERSION</x:v>
      </x:c>
      <x:c r="J33" s="82" t="str">
        <x:v>DC_TO_DC_CONVERSION / BATTERY_CHARGING / INVERSION / MULTIFUNCTION；说明主要能量转换功能。</x:v>
      </x:c>
      <x:c r="K33" s="84"/>
      <x:c r="L33" s="84"/>
      <x:c r="M33" s="84" t="str">
        <x:v>功率电子工程</x:v>
      </x:c>
      <x:c r="N33" s="84"/>
      <x:c r="O33" s="88"/>
      <x:c r="P33" s="84" t="str">
        <x:v>待填报</x:v>
      </x:c>
      <x:c r="Q33" s="84"/>
      <x:c r="R33" s="94" t="str">
        <x:v>支持8504409000其他静止式变流器路线。</x:v>
      </x:c>
      <x:c r="S33" s="94" t="str">
        <x:v>CCU Master + JKDM HS Explorer PDK 2025</x:v>
      </x:c>
    </x:row>
    <x:row r="34" ht="46" customHeight="1">
      <x:c r="A34" s="82" t="str">
        <x:v>TP-029</x:v>
      </x:c>
      <x:c r="B34" s="82" t="str">
        <x:v>CCU-DC-DC-CONVERTER</x:v>
      </x:c>
      <x:c r="C34" s="82" t="str">
        <x:v>车载直流变换器</x:v>
      </x:c>
      <x:c r="D34" s="82" t="str">
        <x:v>part.input_voltage_v</x:v>
      </x:c>
      <x:c r="E34" s="82" t="str">
        <x:v>输入电压范围</x:v>
      </x:c>
      <x:c r="F34" s="82" t="str">
        <x:v>是</x:v>
      </x:c>
      <x:c r="G34" s="82" t="str">
        <x:v>文本</x:v>
      </x:c>
      <x:c r="H34" s="82" t="str">
        <x:v>V</x:v>
      </x:c>
      <x:c r="I34" s="82" t="str"/>
      <x:c r="J34" s="82" t="str">
        <x:v>例如250-450。</x:v>
      </x:c>
      <x:c r="K34" s="84"/>
      <x:c r="L34" s="84"/>
      <x:c r="M34" s="84" t="str">
        <x:v>功率电子工程</x:v>
      </x:c>
      <x:c r="N34" s="84"/>
      <x:c r="O34" s="88"/>
      <x:c r="P34" s="84" t="str">
        <x:v>待填报</x:v>
      </x:c>
      <x:c r="Q34" s="84"/>
      <x:c r="R34" s="94" t="str">
        <x:v>验证DC输入。</x:v>
      </x:c>
      <x:c r="S34" s="94" t="str">
        <x:v>CCU Master + JKDM HS Explorer PDK 2025</x:v>
      </x:c>
    </x:row>
    <x:row r="35" ht="46" customHeight="1">
      <x:c r="A35" s="82" t="str">
        <x:v>TP-030</x:v>
      </x:c>
      <x:c r="B35" s="82" t="str">
        <x:v>CCU-DC-DC-CONVERTER</x:v>
      </x:c>
      <x:c r="C35" s="82" t="str">
        <x:v>车载直流变换器</x:v>
      </x:c>
      <x:c r="D35" s="82" t="str">
        <x:v>part.output_voltage_v</x:v>
      </x:c>
      <x:c r="E35" s="82" t="str">
        <x:v>输出电压范围</x:v>
      </x:c>
      <x:c r="F35" s="82" t="str">
        <x:v>是</x:v>
      </x:c>
      <x:c r="G35" s="82" t="str">
        <x:v>文本</x:v>
      </x:c>
      <x:c r="H35" s="82" t="str">
        <x:v>V</x:v>
      </x:c>
      <x:c r="I35" s="82" t="str"/>
      <x:c r="J35" s="82" t="str">
        <x:v>例如12-14.5。</x:v>
      </x:c>
      <x:c r="K35" s="84"/>
      <x:c r="L35" s="84"/>
      <x:c r="M35" s="84" t="str">
        <x:v>功率电子工程</x:v>
      </x:c>
      <x:c r="N35" s="84"/>
      <x:c r="O35" s="88"/>
      <x:c r="P35" s="84" t="str">
        <x:v>待填报</x:v>
      </x:c>
      <x:c r="Q35" s="84"/>
      <x:c r="R35" s="94" t="str">
        <x:v>验证DC输出。</x:v>
      </x:c>
      <x:c r="S35" s="94" t="str">
        <x:v>CCU Master + JKDM HS Explorer PDK 2025</x:v>
      </x:c>
    </x:row>
    <x:row r="36" ht="46" customHeight="1">
      <x:c r="A36" s="82" t="str">
        <x:v>TP-031</x:v>
      </x:c>
      <x:c r="B36" s="82" t="str">
        <x:v>CCU-DC-DC-CONVERTER</x:v>
      </x:c>
      <x:c r="C36" s="82" t="str">
        <x:v>车载直流变换器</x:v>
      </x:c>
      <x:c r="D36" s="82" t="str">
        <x:v>part.rated_power_kw</x:v>
      </x:c>
      <x:c r="E36" s="82" t="str">
        <x:v>额定功率</x:v>
      </x:c>
      <x:c r="F36" s="82" t="str">
        <x:v>是</x:v>
      </x:c>
      <x:c r="G36" s="82" t="str">
        <x:v>数值</x:v>
      </x:c>
      <x:c r="H36" s="82" t="str">
        <x:v>kW</x:v>
      </x:c>
      <x:c r="I36" s="82" t="str"/>
      <x:c r="J36" s="82" t="str">
        <x:v>使用连续额定值。</x:v>
      </x:c>
      <x:c r="K36" s="95"/>
      <x:c r="L36" s="84"/>
      <x:c r="M36" s="84" t="str">
        <x:v>功率电子工程</x:v>
      </x:c>
      <x:c r="N36" s="84"/>
      <x:c r="O36" s="88"/>
      <x:c r="P36" s="84" t="str">
        <x:v>待填报</x:v>
      </x:c>
      <x:c r="Q36" s="84"/>
      <x:c r="R36" s="94" t="str">
        <x:v>产品技术限定。</x:v>
      </x:c>
      <x:c r="S36" s="94" t="str">
        <x:v>CCU Master + JKDM HS Explorer PDK 2025</x:v>
      </x:c>
    </x:row>
    <x:row r="37" ht="46" customHeight="1">
      <x:c r="A37" s="82" t="str">
        <x:v>TP-032</x:v>
      </x:c>
      <x:c r="B37" s="82" t="str">
        <x:v>CCU-DC-DC-CONVERTER</x:v>
      </x:c>
      <x:c r="C37" s="82" t="str">
        <x:v>车载直流变换器</x:v>
      </x:c>
      <x:c r="D37" s="82" t="str">
        <x:v>part.bidirectional</x:v>
      </x:c>
      <x:c r="E37" s="82" t="str">
        <x:v>是否双向</x:v>
      </x:c>
      <x:c r="F37" s="82" t="str">
        <x:v>是</x:v>
      </x:c>
      <x:c r="G37" s="82" t="str">
        <x:v>布尔</x:v>
      </x:c>
      <x:c r="H37" s="82" t="str"/>
      <x:c r="I37" s="82" t="str"/>
      <x:c r="J37" s="82" t="str">
        <x:v>是 / 否 / 待确认；说明能量是否双向流动。</x:v>
      </x:c>
      <x:c r="K37" s="84"/>
      <x:c r="L37" s="84"/>
      <x:c r="M37" s="84" t="str">
        <x:v>功率电子工程</x:v>
      </x:c>
      <x:c r="N37" s="84"/>
      <x:c r="O37" s="88"/>
      <x:c r="P37" s="84" t="str">
        <x:v>待填报</x:v>
      </x:c>
      <x:c r="Q37" s="84"/>
      <x:c r="R37" s="94" t="str">
        <x:v>可能影响主要功能分析。</x:v>
      </x:c>
      <x:c r="S37" s="94" t="str">
        <x:v>CCU Master + JKDM HS Explorer PDK 2025</x:v>
      </x:c>
    </x:row>
    <x:row r="38" ht="46" customHeight="1">
      <x:c r="A38" s="82" t="str">
        <x:v>TP-033</x:v>
      </x:c>
      <x:c r="B38" s="82" t="str">
        <x:v>CCU-DC-DC-CONVERTER</x:v>
      </x:c>
      <x:c r="C38" s="82" t="str">
        <x:v>车载直流变换器</x:v>
      </x:c>
      <x:c r="D38" s="82" t="str">
        <x:v>part.integrated_charger</x:v>
      </x:c>
      <x:c r="E38" s="82" t="str">
        <x:v>是否集成充电机</x:v>
      </x:c>
      <x:c r="F38" s="82" t="str">
        <x:v>是</x:v>
      </x:c>
      <x:c r="G38" s="82" t="str">
        <x:v>布尔</x:v>
      </x:c>
      <x:c r="H38" s="82" t="str"/>
      <x:c r="I38" s="82" t="str"/>
      <x:c r="J38" s="82" t="str">
        <x:v>是 / 否 / 待确认；说明是否可分离。</x:v>
      </x:c>
      <x:c r="K38" s="84"/>
      <x:c r="L38" s="84"/>
      <x:c r="M38" s="84" t="str">
        <x:v>功率电子工程</x:v>
      </x:c>
      <x:c r="N38" s="84"/>
      <x:c r="O38" s="88"/>
      <x:c r="P38" s="84" t="str">
        <x:v>待填报</x:v>
      </x:c>
      <x:c r="Q38" s="84"/>
      <x:c r="R38" s="94" t="str">
        <x:v>可能落入8504409000充电器监管描述。</x:v>
      </x:c>
      <x:c r="S38" s="94" t="str">
        <x:v>CCU Master + JKDM HS Explorer PDK 2025</x:v>
      </x:c>
    </x:row>
    <x:row r="39" ht="46" customHeight="1">
      <x:c r="A39" s="82" t="str">
        <x:v>TP-034</x:v>
      </x:c>
      <x:c r="B39" s="82" t="str">
        <x:v>CCU-DC-DC-CONVERTER</x:v>
      </x:c>
      <x:c r="C39" s="82" t="str">
        <x:v>车载直流变换器</x:v>
      </x:c>
      <x:c r="D39" s="82" t="str">
        <x:v>part.integrated_inverter</x:v>
      </x:c>
      <x:c r="E39" s="82" t="str">
        <x:v>是否集成逆变器</x:v>
      </x:c>
      <x:c r="F39" s="82" t="str">
        <x:v>是</x:v>
      </x:c>
      <x:c r="G39" s="82" t="str">
        <x:v>布尔</x:v>
      </x:c>
      <x:c r="H39" s="82" t="str"/>
      <x:c r="I39" s="82" t="str"/>
      <x:c r="J39" s="82" t="str">
        <x:v>是 / 否 / 待确认；说明是否可分离。</x:v>
      </x:c>
      <x:c r="K39" s="84"/>
      <x:c r="L39" s="84"/>
      <x:c r="M39" s="84" t="str">
        <x:v>功率电子工程</x:v>
      </x:c>
      <x:c r="N39" s="84"/>
      <x:c r="O39" s="88"/>
      <x:c r="P39" s="84" t="str">
        <x:v>待填报</x:v>
      </x:c>
      <x:c r="Q39" s="84"/>
      <x:c r="R39" s="94" t="str">
        <x:v>可能改变其他静止式变流器结论。</x:v>
      </x:c>
      <x:c r="S39" s="94" t="str">
        <x:v>CCU Master + JKDM HS Explorer PDK 2025</x:v>
      </x:c>
    </x:row>
    <x:row r="40" ht="46" customHeight="1">
      <x:c r="A40" s="82" t="str">
        <x:v>TP-035</x:v>
      </x:c>
      <x:c r="B40" s="82" t="str">
        <x:v>CCU-DC-DC-CONVERTER</x:v>
      </x:c>
      <x:c r="C40" s="82" t="str">
        <x:v>车载直流变换器</x:v>
      </x:c>
      <x:c r="D40" s="82" t="str">
        <x:v>part.integrated_obc</x:v>
      </x:c>
      <x:c r="E40" s="82" t="str">
        <x:v>是否与OBC同壳体/同料号</x:v>
      </x:c>
      <x:c r="F40" s="82" t="str">
        <x:v>是</x:v>
      </x:c>
      <x:c r="G40" s="82" t="str">
        <x:v>布尔</x:v>
      </x:c>
      <x:c r="H40" s="82" t="str"/>
      <x:c r="I40" s="82" t="str"/>
      <x:c r="J40" s="82" t="str">
        <x:v>是 / 否 / 待确认；按进口呈验状态判断。</x:v>
      </x:c>
      <x:c r="K40" s="84"/>
      <x:c r="L40" s="84"/>
      <x:c r="M40" s="84" t="str">
        <x:v>功率电子工程</x:v>
      </x:c>
      <x:c r="N40" s="84"/>
      <x:c r="O40" s="88"/>
      <x:c r="P40" s="84" t="str">
        <x:v>待填报</x:v>
      </x:c>
      <x:c r="Q40" s="84"/>
      <x:c r="R40" s="94" t="str">
        <x:v>支持CCU拆分或多功能分析。</x:v>
      </x:c>
      <x:c r="S40" s="94" t="str">
        <x:v>CCU Master + JKDM HS Explorer PDK 2025</x:v>
      </x:c>
    </x:row>
    <x:row r="41" ht="46" customHeight="1">
      <x:c r="A41" s="82" t="str">
        <x:v>TP-036</x:v>
      </x:c>
      <x:c r="B41" s="82" t="str">
        <x:v>CCU-DC-DC-CONVERTER</x:v>
      </x:c>
      <x:c r="C41" s="82" t="str">
        <x:v>车载直流变换器</x:v>
      </x:c>
      <x:c r="D41" s="82" t="str">
        <x:v>shipment.assembly_state</x:v>
      </x:c>
      <x:c r="E41" s="82" t="str">
        <x:v>进口呈验状态</x:v>
      </x:c>
      <x:c r="F41" s="82" t="str">
        <x:v>是</x:v>
      </x:c>
      <x:c r="G41" s="82" t="str">
        <x:v>枚举</x:v>
      </x:c>
      <x:c r="H41" s="82" t="str"/>
      <x:c r="I41" s="82" t="str">
        <x:v>COMPLETE</x:v>
      </x:c>
      <x:c r="J41" s="82" t="str">
        <x:v>COMPLETE / INCOMPLETE / UNASSEMBLED / DISASSEMBLED / MIXED / UNKNOWN；按报关批次实际状态填写。</x:v>
      </x:c>
      <x:c r="K41" s="84"/>
      <x:c r="L41" s="84"/>
      <x:c r="M41" s="84" t="str">
        <x:v>物流包装</x:v>
      </x:c>
      <x:c r="N41" s="84"/>
      <x:c r="O41" s="88"/>
      <x:c r="P41" s="84" t="str">
        <x:v>待填报</x:v>
      </x:c>
      <x:c r="Q41" s="84"/>
      <x:c r="R41" s="94" t="str">
        <x:v>影响CCU边界。</x:v>
      </x:c>
      <x:c r="S41" s="94" t="str">
        <x:v>CCU Master + JKDM HS Explorer PDK 2025</x:v>
      </x:c>
    </x:row>
    <x:row r="42" ht="46" customHeight="1">
      <x:c r="A42" s="82" t="str">
        <x:v>TP-037</x:v>
      </x:c>
      <x:c r="B42" s="82" t="str">
        <x:v>CCU-PASSENGER-BODY-SHELL</x:v>
      </x:c>
      <x:c r="C42" s="82" t="str">
        <x:v>乘用车车身壳体</x:v>
      </x:c>
      <x:c r="D42" s="82" t="str">
        <x:v>vehicle.intended_heading</x:v>
      </x:c>
      <x:c r="E42" s="82" t="str">
        <x:v>目标整车品目</x:v>
      </x:c>
      <x:c r="F42" s="82" t="str">
        <x:v>是</x:v>
      </x:c>
      <x:c r="G42" s="82" t="str">
        <x:v>枚举</x:v>
      </x:c>
      <x:c r="H42" s="82" t="str"/>
      <x:c r="I42" s="82" t="str">
        <x:v>8703</x:v>
      </x:c>
      <x:c r="J42" s="82" t="str">
        <x:v>8702 / 8703 / 8704 / OTHER；普通乘用车通常填写8703。</x:v>
      </x:c>
      <x:c r="K42" s="84"/>
      <x:c r="L42" s="84"/>
      <x:c r="M42" s="84" t="str">
        <x:v>车身工程</x:v>
      </x:c>
      <x:c r="N42" s="84"/>
      <x:c r="O42" s="88"/>
      <x:c r="P42" s="84" t="str">
        <x:v>待填报</x:v>
      </x:c>
      <x:c r="Q42" s="84"/>
      <x:c r="R42" s="94" t="str">
        <x:v>满足870710税号前提。</x:v>
      </x:c>
      <x:c r="S42" s="94" t="str">
        <x:v>CCU Master + JKDM HS Explorer PDK 2025</x:v>
      </x:c>
    </x:row>
    <x:row r="43" ht="46" customHeight="1">
      <x:c r="A43" s="82" t="str">
        <x:v>TP-038</x:v>
      </x:c>
      <x:c r="B43" s="82" t="str">
        <x:v>CCU-PASSENGER-BODY-SHELL</x:v>
      </x:c>
      <x:c r="C43" s="82" t="str">
        <x:v>乘用车车身壳体</x:v>
      </x:c>
      <x:c r="D43" s="82" t="str">
        <x:v>body.special_use</x:v>
      </x:c>
      <x:c r="E43" s="82" t="str">
        <x:v>车身特殊用途</x:v>
      </x:c>
      <x:c r="F43" s="82" t="str">
        <x:v>是</x:v>
      </x:c>
      <x:c r="G43" s="82" t="str">
        <x:v>枚举</x:v>
      </x:c>
      <x:c r="H43" s="82" t="str"/>
      <x:c r="I43" s="82" t="str">
        <x:v>ORDINARY_PASSENGER_CAR</x:v>
      </x:c>
      <x:c r="J43" s="82" t="str">
        <x:v>ORDINARY_PASSENGER_CAR / GO_KART / GOLF_CAR / AMBULANCE / SNOW_VEHICLE / OTHER；排除高尔夫车、救护车、雪地车等专门分支。</x:v>
      </x:c>
      <x:c r="K43" s="84"/>
      <x:c r="L43" s="84"/>
      <x:c r="M43" s="84" t="str">
        <x:v>车身工程</x:v>
      </x:c>
      <x:c r="N43" s="84"/>
      <x:c r="O43" s="88"/>
      <x:c r="P43" s="84" t="str">
        <x:v>待填报</x:v>
      </x:c>
      <x:c r="Q43" s="84"/>
      <x:c r="R43" s="94" t="str">
        <x:v>选择8707109000残余项。</x:v>
      </x:c>
      <x:c r="S43" s="94" t="str">
        <x:v>CCU Master + JKDM HS Explorer PDK 2025</x:v>
      </x:c>
    </x:row>
    <x:row r="44" ht="46" customHeight="1">
      <x:c r="A44" s="82" t="str">
        <x:v>TP-039</x:v>
      </x:c>
      <x:c r="B44" s="82" t="str">
        <x:v>CCU-PASSENGER-BODY-SHELL</x:v>
      </x:c>
      <x:c r="C44" s="82" t="str">
        <x:v>乘用车车身壳体</x:v>
      </x:c>
      <x:c r="D44" s="82" t="str">
        <x:v>part.with_doors</x:v>
      </x:c>
      <x:c r="E44" s="82" t="str">
        <x:v>是否带车门/闭合件</x:v>
      </x:c>
      <x:c r="F44" s="82" t="str">
        <x:v>是</x:v>
      </x:c>
      <x:c r="G44" s="82" t="str">
        <x:v>布尔</x:v>
      </x:c>
      <x:c r="H44" s="82" t="str"/>
      <x:c r="I44" s="82" t="str"/>
      <x:c r="J44" s="82" t="str">
        <x:v>是 / 否 / 待确认；列明数量和安装状态。</x:v>
      </x:c>
      <x:c r="K44" s="84"/>
      <x:c r="L44" s="84"/>
      <x:c r="M44" s="84" t="str">
        <x:v>车身工程</x:v>
      </x:c>
      <x:c r="N44" s="84"/>
      <x:c r="O44" s="88"/>
      <x:c r="P44" s="84" t="str">
        <x:v>待填报</x:v>
      </x:c>
      <x:c r="Q44" s="84"/>
      <x:c r="R44" s="94" t="str">
        <x:v>影响车身完整程度和GRI 2(a)。</x:v>
      </x:c>
      <x:c r="S44" s="94" t="str">
        <x:v>CCU Master + JKDM HS Explorer PDK 2025</x:v>
      </x:c>
    </x:row>
    <x:row r="45" ht="46" customHeight="1">
      <x:c r="A45" s="82" t="str">
        <x:v>TP-040</x:v>
      </x:c>
      <x:c r="B45" s="82" t="str">
        <x:v>CCU-PASSENGER-BODY-SHELL</x:v>
      </x:c>
      <x:c r="C45" s="82" t="str">
        <x:v>乘用车车身壳体</x:v>
      </x:c>
      <x:c r="D45" s="82" t="str">
        <x:v>part.with_glass</x:v>
      </x:c>
      <x:c r="E45" s="82" t="str">
        <x:v>是否带玻璃</x:v>
      </x:c>
      <x:c r="F45" s="82" t="str">
        <x:v>是</x:v>
      </x:c>
      <x:c r="G45" s="82" t="str">
        <x:v>布尔</x:v>
      </x:c>
      <x:c r="H45" s="82" t="str"/>
      <x:c r="I45" s="82" t="str"/>
      <x:c r="J45" s="82" t="str">
        <x:v>是 / 否 / 待确认；列明已安装或随附。</x:v>
      </x:c>
      <x:c r="K45" s="84"/>
      <x:c r="L45" s="84"/>
      <x:c r="M45" s="84" t="str">
        <x:v>车身工程</x:v>
      </x:c>
      <x:c r="N45" s="84"/>
      <x:c r="O45" s="88"/>
      <x:c r="P45" s="84" t="str">
        <x:v>待填报</x:v>
      </x:c>
      <x:c r="Q45" s="84"/>
      <x:c r="R45" s="94" t="str">
        <x:v>影响车身完整程度。</x:v>
      </x:c>
      <x:c r="S45" s="94" t="str">
        <x:v>CCU Master + JKDM HS Explorer PDK 2025</x:v>
      </x:c>
    </x:row>
    <x:row r="46" ht="46" customHeight="1">
      <x:c r="A46" s="82" t="str">
        <x:v>TP-041</x:v>
      </x:c>
      <x:c r="B46" s="82" t="str">
        <x:v>CCU-PASSENGER-BODY-SHELL</x:v>
      </x:c>
      <x:c r="C46" s="82" t="str">
        <x:v>乘用车车身壳体</x:v>
      </x:c>
      <x:c r="D46" s="82" t="str">
        <x:v>part.with_interior_trim</x:v>
      </x:c>
      <x:c r="E46" s="82" t="str">
        <x:v>是否带内饰</x:v>
      </x:c>
      <x:c r="F46" s="82" t="str">
        <x:v>是</x:v>
      </x:c>
      <x:c r="G46" s="82" t="str">
        <x:v>布尔</x:v>
      </x:c>
      <x:c r="H46" s="82" t="str"/>
      <x:c r="I46" s="82" t="str"/>
      <x:c r="J46" s="82" t="str">
        <x:v>是 / 否 / 待确认；列明仪表板、地毯等。</x:v>
      </x:c>
      <x:c r="K46" s="84"/>
      <x:c r="L46" s="84"/>
      <x:c r="M46" s="84" t="str">
        <x:v>车身工程</x:v>
      </x:c>
      <x:c r="N46" s="84"/>
      <x:c r="O46" s="88"/>
      <x:c r="P46" s="84" t="str">
        <x:v>待填报</x:v>
      </x:c>
      <x:c r="Q46" s="84"/>
      <x:c r="R46" s="94" t="str">
        <x:v>影响整车实质特征评估。</x:v>
      </x:c>
      <x:c r="S46" s="94" t="str">
        <x:v>CCU Master + JKDM HS Explorer PDK 2025</x:v>
      </x:c>
    </x:row>
    <x:row r="47" ht="46" customHeight="1">
      <x:c r="A47" s="82" t="str">
        <x:v>TP-042</x:v>
      </x:c>
      <x:c r="B47" s="82" t="str">
        <x:v>CCU-PASSENGER-BODY-SHELL</x:v>
      </x:c>
      <x:c r="C47" s="82" t="str">
        <x:v>乘用车车身壳体</x:v>
      </x:c>
      <x:c r="D47" s="82" t="str">
        <x:v>part.painted</x:v>
      </x:c>
      <x:c r="E47" s="82" t="str">
        <x:v>是否涂装</x:v>
      </x:c>
      <x:c r="F47" s="82" t="str">
        <x:v>是</x:v>
      </x:c>
      <x:c r="G47" s="82" t="str">
        <x:v>布尔</x:v>
      </x:c>
      <x:c r="H47" s="82" t="str"/>
      <x:c r="I47" s="82" t="str"/>
      <x:c r="J47" s="82" t="str">
        <x:v>是 / 否 / 待确认；说明白车身/涂装车身。</x:v>
      </x:c>
      <x:c r="K47" s="84"/>
      <x:c r="L47" s="84"/>
      <x:c r="M47" s="84" t="str">
        <x:v>车身工程</x:v>
      </x:c>
      <x:c r="N47" s="84"/>
      <x:c r="O47" s="88"/>
      <x:c r="P47" s="84" t="str">
        <x:v>待填报</x:v>
      </x:c>
      <x:c r="Q47" s="84"/>
      <x:c r="R47" s="94" t="str">
        <x:v>产品状态说明。</x:v>
      </x:c>
      <x:c r="S47" s="94" t="str">
        <x:v>CCU Master + JKDM HS Explorer PDK 2025</x:v>
      </x:c>
    </x:row>
    <x:row r="48" ht="46" customHeight="1">
      <x:c r="A48" s="82" t="str">
        <x:v>TP-043</x:v>
      </x:c>
      <x:c r="B48" s="82" t="str">
        <x:v>CCU-PASSENGER-BODY-SHELL</x:v>
      </x:c>
      <x:c r="C48" s="82" t="str">
        <x:v>乘用车车身壳体</x:v>
      </x:c>
      <x:c r="D48" s="82" t="str">
        <x:v>shipment.assembly_state</x:v>
      </x:c>
      <x:c r="E48" s="82" t="str">
        <x:v>车身进口呈验状态</x:v>
      </x:c>
      <x:c r="F48" s="82" t="str">
        <x:v>是</x:v>
      </x:c>
      <x:c r="G48" s="82" t="str">
        <x:v>枚举</x:v>
      </x:c>
      <x:c r="H48" s="82" t="str"/>
      <x:c r="I48" s="82" t="str">
        <x:v>INCOMPLETE</x:v>
      </x:c>
      <x:c r="J48" s="82" t="str">
        <x:v>COMPLETE / INCOMPLETE / UNASSEMBLED / DISASSEMBLED / MIXED / UNKNOWN；按报关批次实际状态填写。</x:v>
      </x:c>
      <x:c r="K48" s="84"/>
      <x:c r="L48" s="84"/>
      <x:c r="M48" s="84" t="str">
        <x:v>物流包装</x:v>
      </x:c>
      <x:c r="N48" s="84"/>
      <x:c r="O48" s="88"/>
      <x:c r="P48" s="84" t="str">
        <x:v>待填报</x:v>
      </x:c>
      <x:c r="Q48" s="84"/>
      <x:c r="R48" s="94" t="str">
        <x:v>直接触发GRI 2(a)审查。</x:v>
      </x:c>
      <x:c r="S48" s="94" t="str">
        <x:v>CCU Master + JKDM HS Explorer PDK 2025</x:v>
      </x:c>
    </x:row>
    <x:row r="49" ht="46" customHeight="1">
      <x:c r="A49" s="82" t="str">
        <x:v>TP-044</x:v>
      </x:c>
      <x:c r="B49" s="82" t="str">
        <x:v>CCU-PASSENGER-BODY-SHELL</x:v>
      </x:c>
      <x:c r="C49" s="82" t="str">
        <x:v>乘用车车身壳体</x:v>
      </x:c>
      <x:c r="D49" s="82" t="str">
        <x:v>shipment.other_vehicle_components_presented</x:v>
      </x:c>
      <x:c r="E49" s="82" t="str">
        <x:v>同批是否呈验其他主要车辆部件</x:v>
      </x:c>
      <x:c r="F49" s="82" t="str">
        <x:v>是</x:v>
      </x:c>
      <x:c r="G49" s="82" t="str">
        <x:v>布尔</x:v>
      </x:c>
      <x:c r="H49" s="82" t="str"/>
      <x:c r="I49" s="82" t="str"/>
      <x:c r="J49" s="82" t="str">
        <x:v>是 / 否 / 待确认；需要提供完整装箱清单。</x:v>
      </x:c>
      <x:c r="K49" s="84"/>
      <x:c r="L49" s="84"/>
      <x:c r="M49" s="84" t="str">
        <x:v>物流包装</x:v>
      </x:c>
      <x:c r="N49" s="84"/>
      <x:c r="O49" s="88"/>
      <x:c r="P49" s="84" t="str">
        <x:v>待填报</x:v>
      </x:c>
      <x:c r="Q49" s="84"/>
      <x:c r="R49" s="94" t="str">
        <x:v>决定是否可能按整车归类。</x:v>
      </x:c>
      <x:c r="S49" s="94" t="str">
        <x:v>CCU Master + JKDM HS Explorer PDK 2025</x:v>
      </x:c>
    </x:row>
    <x:row r="50" ht="46" customHeight="1">
      <x:c r="A50" s="82" t="str">
        <x:v>TP-045</x:v>
      </x:c>
      <x:c r="B50" s="82" t="str">
        <x:v>CCU-PASSENGER-BODY-SHELL</x:v>
      </x:c>
      <x:c r="C50" s="82" t="str">
        <x:v>乘用车车身壳体</x:v>
      </x:c>
      <x:c r="D50" s="82" t="str">
        <x:v>shipment.rolling_chassis_presented</x:v>
      </x:c>
      <x:c r="E50" s="82" t="str">
        <x:v>同批是否呈验底盘/车桥/悬架</x:v>
      </x:c>
      <x:c r="F50" s="82" t="str">
        <x:v>是</x:v>
      </x:c>
      <x:c r="G50" s="82" t="str">
        <x:v>布尔</x:v>
      </x:c>
      <x:c r="H50" s="82" t="str"/>
      <x:c r="I50" s="82" t="str"/>
      <x:c r="J50" s="82" t="str">
        <x:v>是 / 否 / 待确认；按同一报关批次判断。</x:v>
      </x:c>
      <x:c r="K50" s="84"/>
      <x:c r="L50" s="84"/>
      <x:c r="M50" s="84" t="str">
        <x:v>物流包装</x:v>
      </x:c>
      <x:c r="N50" s="84"/>
      <x:c r="O50" s="88"/>
      <x:c r="P50" s="84" t="str">
        <x:v>待填报</x:v>
      </x:c>
      <x:c r="Q50" s="84"/>
      <x:c r="R50" s="94" t="str">
        <x:v>GRI 2(a)关键事实。</x:v>
      </x:c>
      <x:c r="S50" s="94" t="str">
        <x:v>CCU Master + JKDM HS Explorer PDK 2025</x:v>
      </x:c>
    </x:row>
    <x:row r="51" ht="46" customHeight="1">
      <x:c r="A51" s="82" t="str">
        <x:v>TP-046</x:v>
      </x:c>
      <x:c r="B51" s="82" t="str">
        <x:v>CCU-PASSENGER-BODY-SHELL</x:v>
      </x:c>
      <x:c r="C51" s="82" t="str">
        <x:v>乘用车车身壳体</x:v>
      </x:c>
      <x:c r="D51" s="82" t="str">
        <x:v>shipment.powertrain_presented</x:v>
      </x:c>
      <x:c r="E51" s="82" t="str">
        <x:v>同批是否呈验动力总成</x:v>
      </x:c>
      <x:c r="F51" s="82" t="str">
        <x:v>是</x:v>
      </x:c>
      <x:c r="G51" s="82" t="str">
        <x:v>布尔</x:v>
      </x:c>
      <x:c r="H51" s="82" t="str"/>
      <x:c r="I51" s="82" t="str"/>
      <x:c r="J51" s="82" t="str">
        <x:v>是 / 否 / 待确认；包括电机、电池和控制器。</x:v>
      </x:c>
      <x:c r="K51" s="84"/>
      <x:c r="L51" s="84"/>
      <x:c r="M51" s="84" t="str">
        <x:v>物流包装</x:v>
      </x:c>
      <x:c r="N51" s="84"/>
      <x:c r="O51" s="88"/>
      <x:c r="P51" s="84" t="str">
        <x:v>待填报</x:v>
      </x:c>
      <x:c r="Q51" s="84"/>
      <x:c r="R51" s="94" t="str">
        <x:v>GRI 2(a)关键事实。</x:v>
      </x:c>
      <x:c r="S51" s="94" t="str">
        <x:v>CCU Master + JKDM HS Explorer PDK 2025</x:v>
      </x:c>
    </x:row>
    <x:row r="52" ht="46" customHeight="1">
      <x:c r="A52" s="82" t="str">
        <x:v>TP-047</x:v>
      </x:c>
      <x:c r="B52" s="82" t="str">
        <x:v>CCU-ROAD-WHEEL</x:v>
      </x:c>
      <x:c r="C52" s="82" t="str">
        <x:v>机动车道路车轮</x:v>
      </x:c>
      <x:c r="D52" s="82" t="str">
        <x:v>vehicle.intended_heading</x:v>
      </x:c>
      <x:c r="E52" s="82" t="str">
        <x:v>目标整车品目</x:v>
      </x:c>
      <x:c r="F52" s="82" t="str">
        <x:v>是</x:v>
      </x:c>
      <x:c r="G52" s="82" t="str">
        <x:v>枚举</x:v>
      </x:c>
      <x:c r="H52" s="82" t="str"/>
      <x:c r="I52" s="82" t="str">
        <x:v>8703</x:v>
      </x:c>
      <x:c r="J52" s="82" t="str">
        <x:v>8701 / 8702 / 8703 / 8704 / OTHER；普通乘用车填写8703。</x:v>
      </x:c>
      <x:c r="K52" s="84"/>
      <x:c r="L52" s="84"/>
      <x:c r="M52" s="84" t="str">
        <x:v>底盘工程</x:v>
      </x:c>
      <x:c r="N52" s="84"/>
      <x:c r="O52" s="88"/>
      <x:c r="P52" s="84" t="str">
        <x:v>待填报</x:v>
      </x:c>
      <x:c r="Q52" s="84"/>
      <x:c r="R52" s="94" t="str">
        <x:v>选择870870下车辆用途行。</x:v>
      </x:c>
      <x:c r="S52" s="94" t="str">
        <x:v>P.U. (A) 384/2025 pp.1248-1249</x:v>
      </x:c>
    </x:row>
    <x:row r="53" ht="46" customHeight="1">
      <x:c r="A53" s="82" t="str">
        <x:v>TP-048</x:v>
      </x:c>
      <x:c r="B53" s="82" t="str">
        <x:v>CCU-ROAD-WHEEL</x:v>
      </x:c>
      <x:c r="C53" s="82" t="str">
        <x:v>机动车道路车轮</x:v>
      </x:c>
      <x:c r="D53" s="82" t="str">
        <x:v>part.component_form</x:v>
      </x:c>
      <x:c r="E53" s="82" t="str">
        <x:v>部件形态</x:v>
      </x:c>
      <x:c r="F53" s="82" t="str">
        <x:v>是</x:v>
      </x:c>
      <x:c r="G53" s="82" t="str">
        <x:v>枚举</x:v>
      </x:c>
      <x:c r="H53" s="82" t="str"/>
      <x:c r="I53" s="82" t="str">
        <x:v>COMPLETE_WHEEL</x:v>
      </x:c>
      <x:c r="J53" s="82" t="str">
        <x:v>COMPLETE_WHEEL / HUB_CAP / OTHER_WHEEL_PART_OR_ACCESSORY；轮毂罩和其他附件不属于本CCU。</x:v>
      </x:c>
      <x:c r="K53" s="84"/>
      <x:c r="L53" s="84"/>
      <x:c r="M53" s="84" t="str">
        <x:v>底盘工程</x:v>
      </x:c>
      <x:c r="N53" s="84"/>
      <x:c r="O53" s="88"/>
      <x:c r="P53" s="84" t="str">
        <x:v>待填报</x:v>
      </x:c>
      <x:c r="Q53" s="84"/>
      <x:c r="R53" s="94" t="str">
        <x:v>决定是否留在道路车轮CCU。</x:v>
      </x:c>
      <x:c r="S53" s="94" t="str">
        <x:v>P.U. (A) 384/2025 pp.1248-1249</x:v>
      </x:c>
    </x:row>
    <x:row r="54" ht="46" customHeight="1">
      <x:c r="A54" s="82" t="str">
        <x:v>TP-049</x:v>
      </x:c>
      <x:c r="B54" s="82" t="str">
        <x:v>CCU-ROAD-WHEEL</x:v>
      </x:c>
      <x:c r="C54" s="82" t="str">
        <x:v>机动车道路车轮</x:v>
      </x:c>
      <x:c r="D54" s="82" t="str">
        <x:v>part.material</x:v>
      </x:c>
      <x:c r="E54" s="82" t="str">
        <x:v>材料</x:v>
      </x:c>
      <x:c r="F54" s="82" t="str">
        <x:v>是</x:v>
      </x:c>
      <x:c r="G54" s="82" t="str">
        <x:v>枚举</x:v>
      </x:c>
      <x:c r="H54" s="82" t="str"/>
      <x:c r="I54" s="82" t="str"/>
      <x:c r="J54" s="82" t="str">
        <x:v>STEEL / ALUMINIUM_ALLOY / MAGNESIUM_ALLOY / OTHER；按图纸填写。</x:v>
      </x:c>
      <x:c r="K54" s="84"/>
      <x:c r="L54" s="84"/>
      <x:c r="M54" s="84" t="str">
        <x:v>底盘工程</x:v>
      </x:c>
      <x:c r="N54" s="84"/>
      <x:c r="O54" s="88"/>
      <x:c r="P54" s="84" t="str">
        <x:v>待填报</x:v>
      </x:c>
      <x:c r="Q54" s="84"/>
      <x:c r="R54" s="94" t="str">
        <x:v>辅助产品识别。</x:v>
      </x:c>
      <x:c r="S54" s="94" t="str">
        <x:v>P.U. (A) 384/2025 pp.1248-1249</x:v>
      </x:c>
    </x:row>
    <x:row r="55" ht="46" customHeight="1">
      <x:c r="A55" s="82" t="str">
        <x:v>TP-050</x:v>
      </x:c>
      <x:c r="B55" s="82" t="str">
        <x:v>CCU-ROAD-WHEEL</x:v>
      </x:c>
      <x:c r="C55" s="82" t="str">
        <x:v>机动车道路车轮</x:v>
      </x:c>
      <x:c r="D55" s="82" t="str">
        <x:v>part.diameter_inch</x:v>
      </x:c>
      <x:c r="E55" s="82" t="str">
        <x:v>轮辋直径</x:v>
      </x:c>
      <x:c r="F55" s="82" t="str">
        <x:v>是</x:v>
      </x:c>
      <x:c r="G55" s="82" t="str">
        <x:v>数值</x:v>
      </x:c>
      <x:c r="H55" s="82" t="str">
        <x:v>inch</x:v>
      </x:c>
      <x:c r="I55" s="82" t="str"/>
      <x:c r="J55" s="82" t="str">
        <x:v>例如18。</x:v>
      </x:c>
      <x:c r="K55" s="95"/>
      <x:c r="L55" s="84"/>
      <x:c r="M55" s="84" t="str">
        <x:v>底盘工程</x:v>
      </x:c>
      <x:c r="N55" s="84"/>
      <x:c r="O55" s="88"/>
      <x:c r="P55" s="84" t="str">
        <x:v>待填报</x:v>
      </x:c>
      <x:c r="Q55" s="84"/>
      <x:c r="R55" s="94" t="str">
        <x:v>辅助规格核验。</x:v>
      </x:c>
      <x:c r="S55" s="94" t="str">
        <x:v>P.U. (A) 384/2025 pp.1248-1249</x:v>
      </x:c>
    </x:row>
    <x:row r="56" ht="46" customHeight="1">
      <x:c r="A56" s="82" t="str">
        <x:v>TP-051</x:v>
      </x:c>
      <x:c r="B56" s="82" t="str">
        <x:v>CCU-ROAD-WHEEL</x:v>
      </x:c>
      <x:c r="C56" s="82" t="str">
        <x:v>机动车道路车轮</x:v>
      </x:c>
      <x:c r="D56" s="82" t="str">
        <x:v>part.with_tyre</x:v>
      </x:c>
      <x:c r="E56" s="82" t="str">
        <x:v>进口时是否装有轮胎</x:v>
      </x:c>
      <x:c r="F56" s="82" t="str">
        <x:v>是</x:v>
      </x:c>
      <x:c r="G56" s="82" t="str">
        <x:v>布尔</x:v>
      </x:c>
      <x:c r="H56" s="82" t="str"/>
      <x:c r="I56" s="82" t="str"/>
      <x:c r="J56" s="82" t="str">
        <x:v>是 / 否 / 待确认；以呈验状态为准。</x:v>
      </x:c>
      <x:c r="K56" s="84"/>
      <x:c r="L56" s="84"/>
      <x:c r="M56" s="84" t="str">
        <x:v>底盘工程</x:v>
      </x:c>
      <x:c r="N56" s="84"/>
      <x:c r="O56" s="88"/>
      <x:c r="P56" s="84" t="str">
        <x:v>待填报</x:v>
      </x:c>
      <x:c r="Q56" s="84"/>
      <x:c r="R56" s="94" t="str">
        <x:v>是→8708702200；否→8708703200。</x:v>
      </x:c>
      <x:c r="S56" s="94" t="str">
        <x:v>P.U. (A) 384/2025 pp.1248-1249</x:v>
      </x:c>
    </x:row>
    <x:row r="57" ht="46" customHeight="1">
      <x:c r="A57" s="82" t="str">
        <x:v>TP-052</x:v>
      </x:c>
      <x:c r="B57" s="82" t="str">
        <x:v>CCU-ROAD-WHEEL</x:v>
      </x:c>
      <x:c r="C57" s="82" t="str">
        <x:v>机动车道路车轮</x:v>
      </x:c>
      <x:c r="D57" s="82" t="str">
        <x:v>part.with_hub</x:v>
      </x:c>
      <x:c r="E57" s="82" t="str">
        <x:v>是否包含轮毂/轴承单元</x:v>
      </x:c>
      <x:c r="F57" s="82" t="str">
        <x:v>是</x:v>
      </x:c>
      <x:c r="G57" s="82" t="str">
        <x:v>布尔</x:v>
      </x:c>
      <x:c r="H57" s="82" t="str"/>
      <x:c r="I57" s="82" t="str"/>
      <x:c r="J57" s="82" t="str">
        <x:v>是 / 否 / 待确认；说明是否同一总成。</x:v>
      </x:c>
      <x:c r="K57" s="84"/>
      <x:c r="L57" s="84"/>
      <x:c r="M57" s="84" t="str">
        <x:v>底盘工程</x:v>
      </x:c>
      <x:c r="N57" s="84"/>
      <x:c r="O57" s="88"/>
      <x:c r="P57" s="84" t="str">
        <x:v>待填报</x:v>
      </x:c>
      <x:c r="Q57" s="84"/>
      <x:c r="R57" s="94" t="str">
        <x:v>可能改变CCU边界。</x:v>
      </x:c>
      <x:c r="S57" s="94" t="str">
        <x:v>P.U. (A) 384/2025 pp.1248-1249</x:v>
      </x:c>
    </x:row>
    <x:row r="58" ht="46" customHeight="1">
      <x:c r="A58" s="82" t="str">
        <x:v>TP-053</x:v>
      </x:c>
      <x:c r="B58" s="82" t="str">
        <x:v>CCU-ROAD-WHEEL</x:v>
      </x:c>
      <x:c r="C58" s="82" t="str">
        <x:v>机动车道路车轮</x:v>
      </x:c>
      <x:c r="D58" s="82" t="str">
        <x:v>shipment.tyre_separately_invoiced</x:v>
      </x:c>
      <x:c r="E58" s="82" t="str">
        <x:v>轮胎是否分开发票/申报</x:v>
      </x:c>
      <x:c r="F58" s="82" t="str">
        <x:v>是</x:v>
      </x:c>
      <x:c r="G58" s="82" t="str">
        <x:v>布尔</x:v>
      </x:c>
      <x:c r="H58" s="82" t="str"/>
      <x:c r="I58" s="82" t="str"/>
      <x:c r="J58" s="82" t="str">
        <x:v>是 / 否 / 待确认；同时提供发票和装箱单。</x:v>
      </x:c>
      <x:c r="K58" s="84"/>
      <x:c r="L58" s="84"/>
      <x:c r="M58" s="84" t="str">
        <x:v>物流包装</x:v>
      </x:c>
      <x:c r="N58" s="84"/>
      <x:c r="O58" s="88"/>
      <x:c r="P58" s="84" t="str">
        <x:v>待填报</x:v>
      </x:c>
      <x:c r="Q58" s="84"/>
      <x:c r="R58" s="94" t="str">
        <x:v>帮助判断带轮胎车轮呈验状态。</x:v>
      </x:c>
      <x:c r="S58" s="94" t="str">
        <x:v>P.U. (A) 384/2025 pp.1248-1249</x:v>
      </x:c>
    </x:row>
    <x:row r="59" ht="46" customHeight="1">
      <x:c r="A59" s="82" t="str">
        <x:v>TP-054</x:v>
      </x:c>
      <x:c r="B59" s="82" t="str">
        <x:v>CCU-ROAD-WHEEL</x:v>
      </x:c>
      <x:c r="C59" s="82" t="str">
        <x:v>机动车道路车轮</x:v>
      </x:c>
      <x:c r="D59" s="82" t="str">
        <x:v>shipment.assembly_state</x:v>
      </x:c>
      <x:c r="E59" s="82" t="str">
        <x:v>进口呈验状态</x:v>
      </x:c>
      <x:c r="F59" s="82" t="str">
        <x:v>是</x:v>
      </x:c>
      <x:c r="G59" s="82" t="str">
        <x:v>枚举</x:v>
      </x:c>
      <x:c r="H59" s="82" t="str"/>
      <x:c r="I59" s="82" t="str">
        <x:v>COMPLETE</x:v>
      </x:c>
      <x:c r="J59" s="82" t="str">
        <x:v>COMPLETE / INCOMPLETE / UNASSEMBLED / DISASSEMBLED / MIXED / UNKNOWN；按报关批次实际状态填写。</x:v>
      </x:c>
      <x:c r="K59" s="84"/>
      <x:c r="L59" s="84"/>
      <x:c r="M59" s="84" t="str">
        <x:v>物流包装</x:v>
      </x:c>
      <x:c r="N59" s="84"/>
      <x:c r="O59" s="88"/>
      <x:c r="P59" s="84" t="str">
        <x:v>待填报</x:v>
      </x:c>
      <x:c r="Q59" s="84"/>
      <x:c r="R59" s="94" t="str">
        <x:v>影响CCU边界。</x:v>
      </x:c>
      <x:c r="S59" s="94" t="str">
        <x:v>P.U. (A) 384/2025 pp.1248-1249</x:v>
      </x:c>
    </x:row>
    <x:row r="60" ht="46" customHeight="1">
      <x:c r="A60" s="82" t="str">
        <x:v>TP-055</x:v>
      </x:c>
      <x:c r="B60" s="82" t="str">
        <x:v>CCU-ROAD-WHEEL</x:v>
      </x:c>
      <x:c r="C60" s="82" t="str">
        <x:v>机动车道路车轮</x:v>
      </x:c>
      <x:c r="D60" s="82" t="str">
        <x:v>part.intended_use</x:v>
      </x:c>
      <x:c r="E60" s="82" t="str">
        <x:v>用途</x:v>
      </x:c>
      <x:c r="F60" s="82" t="str">
        <x:v>是</x:v>
      </x:c>
      <x:c r="G60" s="82" t="str">
        <x:v>枚举</x:v>
      </x:c>
      <x:c r="H60" s="82" t="str"/>
      <x:c r="I60" s="82" t="str">
        <x:v>OEM_KD</x:v>
      </x:c>
      <x:c r="J60" s="82" t="str">
        <x:v>OEM_KD / REPLACEMENT / SPARE_PART / OTHER；说明OEM KD、售后替换或备件。</x:v>
      </x:c>
      <x:c r="K60" s="84"/>
      <x:c r="L60" s="84"/>
      <x:c r="M60" s="84" t="str">
        <x:v>底盘工程</x:v>
      </x:c>
      <x:c r="N60" s="84"/>
      <x:c r="O60" s="88"/>
      <x:c r="P60" s="84" t="str">
        <x:v>待填报</x:v>
      </x:c>
      <x:c r="Q60" s="84"/>
      <x:c r="R60" s="94" t="str">
        <x:v>监管和项目适用性。</x:v>
      </x:c>
      <x:c r="S60" s="94" t="str">
        <x:v>P.U. (A) 384/2025 pp.1248-1249</x:v>
      </x:c>
    </x:row>
    <x:row r="61" ht="46" customHeight="1">
      <x:c r="A61" s="82" t="str">
        <x:v>TP-056</x:v>
      </x:c>
      <x:c r="B61" s="82" t="str">
        <x:v>CCU-FOUNDATION-BRAKE</x:v>
      </x:c>
      <x:c r="C61" s="82" t="str">
        <x:v>车轮端基础制动器</x:v>
      </x:c>
      <x:c r="D61" s="82" t="str">
        <x:v>vehicle.intended_heading</x:v>
      </x:c>
      <x:c r="E61" s="82" t="str">
        <x:v>目标整车品目</x:v>
      </x:c>
      <x:c r="F61" s="82" t="str">
        <x:v>是</x:v>
      </x:c>
      <x:c r="G61" s="82" t="str">
        <x:v>枚举</x:v>
      </x:c>
      <x:c r="H61" s="82" t="str"/>
      <x:c r="I61" s="82" t="str">
        <x:v>8703</x:v>
      </x:c>
      <x:c r="J61" s="82" t="str">
        <x:v>8701 / 8702 / 8703 / 8704 / OTHER；普通乘用车填写8703。</x:v>
      </x:c>
      <x:c r="K61" s="84"/>
      <x:c r="L61" s="84"/>
      <x:c r="M61" s="84" t="str">
        <x:v>制动系统工程</x:v>
      </x:c>
      <x:c r="N61" s="84"/>
      <x:c r="O61" s="88"/>
      <x:c r="P61" s="84" t="str">
        <x:v>待填报</x:v>
      </x:c>
      <x:c r="Q61" s="84"/>
      <x:c r="R61" s="94" t="str">
        <x:v>支持870830车辆用途。</x:v>
      </x:c>
      <x:c r="S61" s="94" t="str">
        <x:v>CCU Master + JKDM HS Explorer PDK 2025</x:v>
      </x:c>
    </x:row>
    <x:row r="62" ht="46" customHeight="1">
      <x:c r="A62" s="82" t="str">
        <x:v>TP-057</x:v>
      </x:c>
      <x:c r="B62" s="82" t="str">
        <x:v>CCU-FOUNDATION-BRAKE</x:v>
      </x:c>
      <x:c r="C62" s="82" t="str">
        <x:v>车轮端基础制动器</x:v>
      </x:c>
      <x:c r="D62" s="82" t="str">
        <x:v>part.component_type</x:v>
      </x:c>
      <x:c r="E62" s="82" t="str">
        <x:v>具体部件类型</x:v>
      </x:c>
      <x:c r="F62" s="82" t="str">
        <x:v>是</x:v>
      </x:c>
      <x:c r="G62" s="82" t="str">
        <x:v>枚举</x:v>
      </x:c>
      <x:c r="H62" s="82" t="str"/>
      <x:c r="I62" s="82" t="str"/>
      <x:c r="J62" s="82" t="str">
        <x:v>BRAKE_DRUM / BRAKE_DISC / BRAKE_PIPE / CALIPER / BRAKE_PAD / BRAKE_SHOE / FOUNDATION_BRAKE_ASSEMBLY / OTHER；按进口呈验对象选择。</x:v>
      </x:c>
      <x:c r="K62" s="84"/>
      <x:c r="L62" s="84"/>
      <x:c r="M62" s="84" t="str">
        <x:v>制动系统工程</x:v>
      </x:c>
      <x:c r="N62" s="84"/>
      <x:c r="O62" s="88"/>
      <x:c r="P62" s="84" t="str">
        <x:v>待填报</x:v>
      </x:c>
      <x:c r="Q62" s="84"/>
      <x:c r="R62" s="94" t="str">
        <x:v>鼓/盘/管→8708302100；其他→候选8708302900。</x:v>
      </x:c>
      <x:c r="S62" s="94" t="str">
        <x:v>CCU Master + JKDM HS Explorer PDK 2025</x:v>
      </x:c>
    </x:row>
    <x:row r="63" ht="46" customHeight="1">
      <x:c r="A63" s="82" t="str">
        <x:v>TP-058</x:v>
      </x:c>
      <x:c r="B63" s="82" t="str">
        <x:v>CCU-FOUNDATION-BRAKE</x:v>
      </x:c>
      <x:c r="C63" s="82" t="str">
        <x:v>车轮端基础制动器</x:v>
      </x:c>
      <x:c r="D63" s="82" t="str">
        <x:v>part.brake_type</x:v>
      </x:c>
      <x:c r="E63" s="82" t="str">
        <x:v>制动形式</x:v>
      </x:c>
      <x:c r="F63" s="82" t="str">
        <x:v>是</x:v>
      </x:c>
      <x:c r="G63" s="82" t="str">
        <x:v>枚举</x:v>
      </x:c>
      <x:c r="H63" s="82" t="str"/>
      <x:c r="I63" s="82" t="str"/>
      <x:c r="J63" s="82" t="str">
        <x:v>DISC / DRUM / MIXED / OTHER；按设计填写。</x:v>
      </x:c>
      <x:c r="K63" s="84"/>
      <x:c r="L63" s="84"/>
      <x:c r="M63" s="84" t="str">
        <x:v>制动系统工程</x:v>
      </x:c>
      <x:c r="N63" s="84"/>
      <x:c r="O63" s="88"/>
      <x:c r="P63" s="84" t="str">
        <x:v>待填报</x:v>
      </x:c>
      <x:c r="Q63" s="84"/>
      <x:c r="R63" s="94" t="str">
        <x:v>产品识别。</x:v>
      </x:c>
      <x:c r="S63" s="94" t="str">
        <x:v>CCU Master + JKDM HS Explorer PDK 2025</x:v>
      </x:c>
    </x:row>
    <x:row r="64" ht="46" customHeight="1">
      <x:c r="A64" s="82" t="str">
        <x:v>TP-059</x:v>
      </x:c>
      <x:c r="B64" s="82" t="str">
        <x:v>CCU-FOUNDATION-BRAKE</x:v>
      </x:c>
      <x:c r="C64" s="82" t="str">
        <x:v>车轮端基础制动器</x:v>
      </x:c>
      <x:c r="D64" s="82" t="str">
        <x:v>part.includes_caliper</x:v>
      </x:c>
      <x:c r="E64" s="82" t="str">
        <x:v>是否包含卡钳</x:v>
      </x:c>
      <x:c r="F64" s="82" t="str">
        <x:v>是</x:v>
      </x:c>
      <x:c r="G64" s="82" t="str">
        <x:v>布尔</x:v>
      </x:c>
      <x:c r="H64" s="82" t="str"/>
      <x:c r="I64" s="82" t="str"/>
      <x:c r="J64" s="82" t="str">
        <x:v>是 / 否 / 待确认；列明包含数量。</x:v>
      </x:c>
      <x:c r="K64" s="84"/>
      <x:c r="L64" s="84"/>
      <x:c r="M64" s="84" t="str">
        <x:v>制动系统工程</x:v>
      </x:c>
      <x:c r="N64" s="84"/>
      <x:c r="O64" s="88"/>
      <x:c r="P64" s="84" t="str">
        <x:v>待填报</x:v>
      </x:c>
      <x:c r="Q64" s="84"/>
      <x:c r="R64" s="94" t="str">
        <x:v>决定是否属于其他制动器总成。</x:v>
      </x:c>
      <x:c r="S64" s="94" t="str">
        <x:v>CCU Master + JKDM HS Explorer PDK 2025</x:v>
      </x:c>
    </x:row>
    <x:row r="65" ht="46" customHeight="1">
      <x:c r="A65" s="82" t="str">
        <x:v>TP-060</x:v>
      </x:c>
      <x:c r="B65" s="82" t="str">
        <x:v>CCU-FOUNDATION-BRAKE</x:v>
      </x:c>
      <x:c r="C65" s="82" t="str">
        <x:v>车轮端基础制动器</x:v>
      </x:c>
      <x:c r="D65" s="82" t="str">
        <x:v>part.includes_disc_or_drum</x:v>
      </x:c>
      <x:c r="E65" s="82" t="str">
        <x:v>是否包含制动盘/鼓</x:v>
      </x:c>
      <x:c r="F65" s="82" t="str">
        <x:v>是</x:v>
      </x:c>
      <x:c r="G65" s="82" t="str">
        <x:v>布尔</x:v>
      </x:c>
      <x:c r="H65" s="82" t="str"/>
      <x:c r="I65" s="82" t="str"/>
      <x:c r="J65" s="82" t="str">
        <x:v>是 / 否 / 待确认；说明是否随总成呈验。</x:v>
      </x:c>
      <x:c r="K65" s="84"/>
      <x:c r="L65" s="84"/>
      <x:c r="M65" s="84" t="str">
        <x:v>制动系统工程</x:v>
      </x:c>
      <x:c r="N65" s="84"/>
      <x:c r="O65" s="88"/>
      <x:c r="P65" s="84" t="str">
        <x:v>待填报</x:v>
      </x:c>
      <x:c r="Q65" s="84"/>
      <x:c r="R65" s="94" t="str">
        <x:v>测试8708302100枚举对象。</x:v>
      </x:c>
      <x:c r="S65" s="94" t="str">
        <x:v>CCU Master + JKDM HS Explorer PDK 2025</x:v>
      </x:c>
    </x:row>
    <x:row r="66" ht="46" customHeight="1">
      <x:c r="A66" s="82" t="str">
        <x:v>TP-061</x:v>
      </x:c>
      <x:c r="B66" s="82" t="str">
        <x:v>CCU-FOUNDATION-BRAKE</x:v>
      </x:c>
      <x:c r="C66" s="82" t="str">
        <x:v>车轮端基础制动器</x:v>
      </x:c>
      <x:c r="D66" s="82" t="str">
        <x:v>part.includes_pipe</x:v>
      </x:c>
      <x:c r="E66" s="82" t="str">
        <x:v>是否包含制动管</x:v>
      </x:c>
      <x:c r="F66" s="82" t="str">
        <x:v>是</x:v>
      </x:c>
      <x:c r="G66" s="82" t="str">
        <x:v>布尔</x:v>
      </x:c>
      <x:c r="H66" s="82" t="str"/>
      <x:c r="I66" s="82" t="str"/>
      <x:c r="J66" s="82" t="str">
        <x:v>是 / 否 / 待确认；列明硬管/软管。</x:v>
      </x:c>
      <x:c r="K66" s="84"/>
      <x:c r="L66" s="84"/>
      <x:c r="M66" s="84" t="str">
        <x:v>制动系统工程</x:v>
      </x:c>
      <x:c r="N66" s="84"/>
      <x:c r="O66" s="88"/>
      <x:c r="P66" s="84" t="str">
        <x:v>待填报</x:v>
      </x:c>
      <x:c r="Q66" s="84"/>
      <x:c r="R66" s="94" t="str">
        <x:v>测试8708302100枚举对象。</x:v>
      </x:c>
      <x:c r="S66" s="94" t="str">
        <x:v>CCU Master + JKDM HS Explorer PDK 2025</x:v>
      </x:c>
    </x:row>
    <x:row r="67" ht="46" customHeight="1">
      <x:c r="A67" s="82" t="str">
        <x:v>TP-062</x:v>
      </x:c>
      <x:c r="B67" s="82" t="str">
        <x:v>CCU-FOUNDATION-BRAKE</x:v>
      </x:c>
      <x:c r="C67" s="82" t="str">
        <x:v>车轮端基础制动器</x:v>
      </x:c>
      <x:c r="D67" s="82" t="str">
        <x:v>part.includes_actuator</x:v>
      </x:c>
      <x:c r="E67" s="82" t="str">
        <x:v>是否包含执行器</x:v>
      </x:c>
      <x:c r="F67" s="82" t="str">
        <x:v>是</x:v>
      </x:c>
      <x:c r="G67" s="82" t="str">
        <x:v>布尔</x:v>
      </x:c>
      <x:c r="H67" s="82" t="str"/>
      <x:c r="I67" s="82" t="str"/>
      <x:c r="J67" s="82" t="str">
        <x:v>是 / 否 / 待确认；说明电动/液压。</x:v>
      </x:c>
      <x:c r="K67" s="84"/>
      <x:c r="L67" s="84"/>
      <x:c r="M67" s="84" t="str">
        <x:v>制动系统工程</x:v>
      </x:c>
      <x:c r="N67" s="84"/>
      <x:c r="O67" s="88"/>
      <x:c r="P67" s="84" t="str">
        <x:v>待填报</x:v>
      </x:c>
      <x:c r="Q67" s="84"/>
      <x:c r="R67" s="94" t="str">
        <x:v>总成边界和特定品目排除。</x:v>
      </x:c>
      <x:c r="S67" s="94" t="str">
        <x:v>CCU Master + JKDM HS Explorer PDK 2025</x:v>
      </x:c>
    </x:row>
    <x:row r="68" ht="46" customHeight="1">
      <x:c r="A68" s="82" t="str">
        <x:v>TP-063</x:v>
      </x:c>
      <x:c r="B68" s="82" t="str">
        <x:v>CCU-FOUNDATION-BRAKE</x:v>
      </x:c>
      <x:c r="C68" s="82" t="str">
        <x:v>车轮端基础制动器</x:v>
      </x:c>
      <x:c r="D68" s="82" t="str">
        <x:v>part.includes_pads_or_shoes</x:v>
      </x:c>
      <x:c r="E68" s="82" t="str">
        <x:v>是否包含摩擦片/蹄</x:v>
      </x:c>
      <x:c r="F68" s="82" t="str">
        <x:v>是</x:v>
      </x:c>
      <x:c r="G68" s="82" t="str">
        <x:v>布尔</x:v>
      </x:c>
      <x:c r="H68" s="82" t="str"/>
      <x:c r="I68" s="82" t="str"/>
      <x:c r="J68" s="82" t="str">
        <x:v>是 / 否 / 待确认；列明是否已安装。</x:v>
      </x:c>
      <x:c r="K68" s="84"/>
      <x:c r="L68" s="84"/>
      <x:c r="M68" s="84" t="str">
        <x:v>制动系统工程</x:v>
      </x:c>
      <x:c r="N68" s="84"/>
      <x:c r="O68" s="88"/>
      <x:c r="P68" s="84" t="str">
        <x:v>待填报</x:v>
      </x:c>
      <x:c r="Q68" s="84"/>
      <x:c r="R68" s="94" t="str">
        <x:v>触发替换件标准/认证核查。</x:v>
      </x:c>
      <x:c r="S68" s="94" t="str">
        <x:v>CCU Master + JKDM HS Explorer PDK 2025</x:v>
      </x:c>
    </x:row>
    <x:row r="69" ht="46" customHeight="1">
      <x:c r="A69" s="82" t="str">
        <x:v>TP-064</x:v>
      </x:c>
      <x:c r="B69" s="82" t="str">
        <x:v>CCU-FOUNDATION-BRAKE</x:v>
      </x:c>
      <x:c r="C69" s="82" t="str">
        <x:v>车轮端基础制动器</x:v>
      </x:c>
      <x:c r="D69" s="82" t="str">
        <x:v>part.intended_use</x:v>
      </x:c>
      <x:c r="E69" s="82" t="str">
        <x:v>用途</x:v>
      </x:c>
      <x:c r="F69" s="82" t="str">
        <x:v>是</x:v>
      </x:c>
      <x:c r="G69" s="82" t="str">
        <x:v>枚举</x:v>
      </x:c>
      <x:c r="H69" s="82" t="str"/>
      <x:c r="I69" s="82" t="str">
        <x:v>OEM_KD</x:v>
      </x:c>
      <x:c r="J69" s="82" t="str">
        <x:v>OEM_KD / REPLACEMENT / SPARE_PART / OTHER；监管页文字明确提及replacement parts。</x:v>
      </x:c>
      <x:c r="K69" s="84"/>
      <x:c r="L69" s="84"/>
      <x:c r="M69" s="84" t="str">
        <x:v>制动系统工程</x:v>
      </x:c>
      <x:c r="N69" s="84"/>
      <x:c r="O69" s="88"/>
      <x:c r="P69" s="84" t="str">
        <x:v>待填报</x:v>
      </x:c>
      <x:c r="Q69" s="84"/>
      <x:c r="R69" s="94" t="str">
        <x:v>决定8708302900认证监管是否适用。</x:v>
      </x:c>
      <x:c r="S69" s="94" t="str">
        <x:v>CCU Master + JKDM HS Explorer PDK 2025</x:v>
      </x:c>
    </x:row>
    <x:row r="70" ht="46" customHeight="1">
      <x:c r="A70" s="82" t="str">
        <x:v>TP-065</x:v>
      </x:c>
      <x:c r="B70" s="82" t="str">
        <x:v>CCU-FOUNDATION-BRAKE</x:v>
      </x:c>
      <x:c r="C70" s="82" t="str">
        <x:v>车轮端基础制动器</x:v>
      </x:c>
      <x:c r="D70" s="82" t="str">
        <x:v>shipment.assembly_state</x:v>
      </x:c>
      <x:c r="E70" s="82" t="str">
        <x:v>进口呈验状态</x:v>
      </x:c>
      <x:c r="F70" s="82" t="str">
        <x:v>是</x:v>
      </x:c>
      <x:c r="G70" s="82" t="str">
        <x:v>枚举</x:v>
      </x:c>
      <x:c r="H70" s="82" t="str"/>
      <x:c r="I70" s="82" t="str">
        <x:v>COMPLETE</x:v>
      </x:c>
      <x:c r="J70" s="82" t="str">
        <x:v>COMPLETE / INCOMPLETE / UNASSEMBLED / DISASSEMBLED / MIXED / UNKNOWN；按报关批次实际状态填写。</x:v>
      </x:c>
      <x:c r="K70" s="84"/>
      <x:c r="L70" s="84"/>
      <x:c r="M70" s="84" t="str">
        <x:v>物流包装</x:v>
      </x:c>
      <x:c r="N70" s="84"/>
      <x:c r="O70" s="88"/>
      <x:c r="P70" s="84" t="str">
        <x:v>待填报</x:v>
      </x:c>
      <x:c r="Q70" s="84"/>
      <x:c r="R70" s="94" t="str">
        <x:v>影响CCU边界。</x:v>
      </x:c>
      <x:c r="S70" s="94" t="str">
        <x:v>CCU Master + JKDM HS Explorer PDK 2025</x:v>
      </x:c>
    </x:row>
    <x:row r="71" ht="46" customHeight="1">
      <x:c r="A71" s="82" t="str">
        <x:v>TP-066</x:v>
      </x:c>
      <x:c r="B71" s="82" t="str">
        <x:v>CCU-STEERING-GEAR-COLUMN</x:v>
      </x:c>
      <x:c r="C71" s="82" t="str">
        <x:v>转向器或转向柱总成</x:v>
      </x:c>
      <x:c r="D71" s="82" t="str">
        <x:v>vehicle.intended_heading</x:v>
      </x:c>
      <x:c r="E71" s="82" t="str">
        <x:v>目标整车品目</x:v>
      </x:c>
      <x:c r="F71" s="82" t="str">
        <x:v>是</x:v>
      </x:c>
      <x:c r="G71" s="82" t="str">
        <x:v>枚举</x:v>
      </x:c>
      <x:c r="H71" s="82" t="str"/>
      <x:c r="I71" s="82" t="str">
        <x:v>8703</x:v>
      </x:c>
      <x:c r="J71" s="82" t="str">
        <x:v>8701 / 8702 / 8703 / 8704 / OTHER；普通乘用车填写8703。</x:v>
      </x:c>
      <x:c r="K71" s="84"/>
      <x:c r="L71" s="84"/>
      <x:c r="M71" s="84" t="str">
        <x:v>转向系统工程</x:v>
      </x:c>
      <x:c r="N71" s="84"/>
      <x:c r="O71" s="88"/>
      <x:c r="P71" s="84" t="str">
        <x:v>待填报</x:v>
      </x:c>
      <x:c r="Q71" s="84"/>
      <x:c r="R71" s="94" t="str">
        <x:v>满足8708949500车辆用途。</x:v>
      </x:c>
      <x:c r="S71" s="94" t="str">
        <x:v>P.U. (A) 384/2025 pp.1251-1252</x:v>
      </x:c>
    </x:row>
    <x:row r="72" ht="46" customHeight="1">
      <x:c r="A72" s="82" t="str">
        <x:v>TP-067</x:v>
      </x:c>
      <x:c r="B72" s="82" t="str">
        <x:v>CCU-STEERING-GEAR-COLUMN</x:v>
      </x:c>
      <x:c r="C72" s="82" t="str">
        <x:v>转向器或转向柱总成</x:v>
      </x:c>
      <x:c r="D72" s="82" t="str">
        <x:v>part.component_type</x:v>
      </x:c>
      <x:c r="E72" s="82" t="str">
        <x:v>具体部件类型</x:v>
      </x:c>
      <x:c r="F72" s="82" t="str">
        <x:v>是</x:v>
      </x:c>
      <x:c r="G72" s="82" t="str">
        <x:v>枚举</x:v>
      </x:c>
      <x:c r="H72" s="82" t="str"/>
      <x:c r="I72" s="82" t="str"/>
      <x:c r="J72" s="82" t="str">
        <x:v>STEERING_GEAR / STEERING_RACK / STEERING_COLUMN / STEERING_WHEEL / OTHER；本CCU仅覆盖转向器、齿条或转向柱。</x:v>
      </x:c>
      <x:c r="K72" s="84"/>
      <x:c r="L72" s="84"/>
      <x:c r="M72" s="84" t="str">
        <x:v>转向系统工程</x:v>
      </x:c>
      <x:c r="N72" s="84"/>
      <x:c r="O72" s="88"/>
      <x:c r="P72" s="84" t="str">
        <x:v>待填报</x:v>
      </x:c>
      <x:c r="Q72" s="84"/>
      <x:c r="R72" s="94" t="str">
        <x:v>确认使用8708949500；方向盘需重新分配CCU。</x:v>
      </x:c>
      <x:c r="S72" s="94" t="str">
        <x:v>P.U. (A) 384/2025 pp.1251-1252</x:v>
      </x:c>
    </x:row>
    <x:row r="73" ht="46" customHeight="1">
      <x:c r="A73" s="82" t="str">
        <x:v>TP-068</x:v>
      </x:c>
      <x:c r="B73" s="82" t="str">
        <x:v>CCU-STEERING-GEAR-COLUMN</x:v>
      </x:c>
      <x:c r="C73" s="82" t="str">
        <x:v>转向器或转向柱总成</x:v>
      </x:c>
      <x:c r="D73" s="82" t="str">
        <x:v>part.assist_type</x:v>
      </x:c>
      <x:c r="E73" s="82" t="str">
        <x:v>助力形式</x:v>
      </x:c>
      <x:c r="F73" s="82" t="str">
        <x:v>是</x:v>
      </x:c>
      <x:c r="G73" s="82" t="str">
        <x:v>枚举</x:v>
      </x:c>
      <x:c r="H73" s="82" t="str"/>
      <x:c r="I73" s="82" t="str"/>
      <x:c r="J73" s="82" t="str">
        <x:v>MECHANICAL / HYDRAULIC / ELECTRO_HYDRAULIC / ELECTRIC / OTHER；按设计填写。</x:v>
      </x:c>
      <x:c r="K73" s="84"/>
      <x:c r="L73" s="84"/>
      <x:c r="M73" s="84" t="str">
        <x:v>转向系统工程</x:v>
      </x:c>
      <x:c r="N73" s="84"/>
      <x:c r="O73" s="88"/>
      <x:c r="P73" s="84" t="str">
        <x:v>待填报</x:v>
      </x:c>
      <x:c r="Q73" s="84"/>
      <x:c r="R73" s="94" t="str">
        <x:v>判断电动机/液压部件内容。</x:v>
      </x:c>
      <x:c r="S73" s="94" t="str">
        <x:v>P.U. (A) 384/2025 pp.1251-1252</x:v>
      </x:c>
    </x:row>
    <x:row r="74" ht="46" customHeight="1">
      <x:c r="A74" s="82" t="str">
        <x:v>TP-069</x:v>
      </x:c>
      <x:c r="B74" s="82" t="str">
        <x:v>CCU-STEERING-GEAR-COLUMN</x:v>
      </x:c>
      <x:c r="C74" s="82" t="str">
        <x:v>转向器或转向柱总成</x:v>
      </x:c>
      <x:c r="D74" s="82" t="str">
        <x:v>part.includes_electric_motor</x:v>
      </x:c>
      <x:c r="E74" s="82" t="str">
        <x:v>是否集成电机</x:v>
      </x:c>
      <x:c r="F74" s="82" t="str">
        <x:v>是</x:v>
      </x:c>
      <x:c r="G74" s="82" t="str">
        <x:v>布尔</x:v>
      </x:c>
      <x:c r="H74" s="82" t="str"/>
      <x:c r="I74" s="82" t="str"/>
      <x:c r="J74" s="82" t="str">
        <x:v>是 / 否 / 待确认；说明是否可分离。</x:v>
      </x:c>
      <x:c r="K74" s="84"/>
      <x:c r="L74" s="84"/>
      <x:c r="M74" s="84" t="str">
        <x:v>转向系统工程</x:v>
      </x:c>
      <x:c r="N74" s="84"/>
      <x:c r="O74" s="88"/>
      <x:c r="P74" s="84" t="str">
        <x:v>待填报</x:v>
      </x:c>
      <x:c r="Q74" s="84"/>
      <x:c r="R74" s="94" t="str">
        <x:v>检查电机是否需特定品目审查。</x:v>
      </x:c>
      <x:c r="S74" s="94" t="str">
        <x:v>P.U. (A) 384/2025 pp.1251-1252</x:v>
      </x:c>
    </x:row>
    <x:row r="75" ht="46" customHeight="1">
      <x:c r="A75" s="82" t="str">
        <x:v>TP-070</x:v>
      </x:c>
      <x:c r="B75" s="82" t="str">
        <x:v>CCU-STEERING-GEAR-COLUMN</x:v>
      </x:c>
      <x:c r="C75" s="82" t="str">
        <x:v>转向器或转向柱总成</x:v>
      </x:c>
      <x:c r="D75" s="82" t="str">
        <x:v>part.includes_ecu</x:v>
      </x:c>
      <x:c r="E75" s="82" t="str">
        <x:v>是否集成ECU</x:v>
      </x:c>
      <x:c r="F75" s="82" t="str">
        <x:v>是</x:v>
      </x:c>
      <x:c r="G75" s="82" t="str">
        <x:v>布尔</x:v>
      </x:c>
      <x:c r="H75" s="82" t="str"/>
      <x:c r="I75" s="82" t="str"/>
      <x:c r="J75" s="82" t="str">
        <x:v>是 / 否 / 待确认；说明是否可分离。</x:v>
      </x:c>
      <x:c r="K75" s="84"/>
      <x:c r="L75" s="84"/>
      <x:c r="M75" s="84" t="str">
        <x:v>转向系统工程</x:v>
      </x:c>
      <x:c r="N75" s="84"/>
      <x:c r="O75" s="88"/>
      <x:c r="P75" s="84" t="str">
        <x:v>待填报</x:v>
      </x:c>
      <x:c r="Q75" s="84"/>
      <x:c r="R75" s="94" t="str">
        <x:v>检查电子控制器是否单独归类。</x:v>
      </x:c>
      <x:c r="S75" s="94" t="str">
        <x:v>P.U. (A) 384/2025 pp.1251-1252</x:v>
      </x:c>
    </x:row>
    <x:row r="76" ht="46" customHeight="1">
      <x:c r="A76" s="82" t="str">
        <x:v>TP-071</x:v>
      </x:c>
      <x:c r="B76" s="82" t="str">
        <x:v>CCU-STEERING-GEAR-COLUMN</x:v>
      </x:c>
      <x:c r="C76" s="82" t="str">
        <x:v>转向器或转向柱总成</x:v>
      </x:c>
      <x:c r="D76" s="82" t="str">
        <x:v>part.steering_wheel_with_airbag</x:v>
      </x:c>
      <x:c r="E76" s="82" t="str">
        <x:v>是否为带安全气囊方向盘</x:v>
      </x:c>
      <x:c r="F76" s="82" t="str">
        <x:v>是</x:v>
      </x:c>
      <x:c r="G76" s="82" t="str">
        <x:v>布尔</x:v>
      </x:c>
      <x:c r="H76" s="82" t="str"/>
      <x:c r="I76" s="82" t="str">
        <x:v>否</x:v>
      </x:c>
      <x:c r="J76" s="82" t="str">
        <x:v>是 / 否 / 待确认；本CCU定义明确排除方向盘。</x:v>
      </x:c>
      <x:c r="K76" s="84"/>
      <x:c r="L76" s="84"/>
      <x:c r="M76" s="84" t="str">
        <x:v>转向系统工程</x:v>
      </x:c>
      <x:c r="N76" s="84"/>
      <x:c r="O76" s="88"/>
      <x:c r="P76" s="84" t="str">
        <x:v>待填报</x:v>
      </x:c>
      <x:c r="Q76" s="84"/>
      <x:c r="R76" s="94" t="str">
        <x:v>是则不得使用8708949500本CCU路线。</x:v>
      </x:c>
      <x:c r="S76" s="94" t="str">
        <x:v>P.U. (A) 384/2025 pp.1251-1252</x:v>
      </x:c>
    </x:row>
    <x:row r="77" ht="46" customHeight="1">
      <x:c r="A77" s="82" t="str">
        <x:v>TP-072</x:v>
      </x:c>
      <x:c r="B77" s="82" t="str">
        <x:v>CCU-STEERING-GEAR-COLUMN</x:v>
      </x:c>
      <x:c r="C77" s="82" t="str">
        <x:v>转向器或转向柱总成</x:v>
      </x:c>
      <x:c r="D77" s="82" t="str">
        <x:v>part.integrated_functions</x:v>
      </x:c>
      <x:c r="E77" s="82" t="str">
        <x:v>其他集成功能</x:v>
      </x:c>
      <x:c r="F77" s="82" t="str">
        <x:v>否</x:v>
      </x:c>
      <x:c r="G77" s="82" t="str">
        <x:v>文本</x:v>
      </x:c>
      <x:c r="H77" s="82" t="str"/>
      <x:c r="I77" s="82" t="str"/>
      <x:c r="J77" s="82" t="str">
        <x:v>列明传感器、控制器等。</x:v>
      </x:c>
      <x:c r="K77" s="84"/>
      <x:c r="L77" s="84"/>
      <x:c r="M77" s="84" t="str">
        <x:v>转向系统工程</x:v>
      </x:c>
      <x:c r="N77" s="84"/>
      <x:c r="O77" s="88"/>
      <x:c r="P77" s="84" t="str">
        <x:v>待填报</x:v>
      </x:c>
      <x:c r="Q77" s="84"/>
      <x:c r="R77" s="94" t="str">
        <x:v>支持主要功能分析。</x:v>
      </x:c>
      <x:c r="S77" s="94" t="str">
        <x:v>P.U. (A) 384/2025 pp.1251-1252</x:v>
      </x:c>
    </x:row>
    <x:row r="78" ht="46" customHeight="1">
      <x:c r="A78" s="82" t="str">
        <x:v>TP-073</x:v>
      </x:c>
      <x:c r="B78" s="82" t="str">
        <x:v>CCU-STEERING-GEAR-COLUMN</x:v>
      </x:c>
      <x:c r="C78" s="82" t="str">
        <x:v>转向器或转向柱总成</x:v>
      </x:c>
      <x:c r="D78" s="82" t="str">
        <x:v>shipment.assembly_state</x:v>
      </x:c>
      <x:c r="E78" s="82" t="str">
        <x:v>进口呈验状态</x:v>
      </x:c>
      <x:c r="F78" s="82" t="str">
        <x:v>是</x:v>
      </x:c>
      <x:c r="G78" s="82" t="str">
        <x:v>枚举</x:v>
      </x:c>
      <x:c r="H78" s="82" t="str"/>
      <x:c r="I78" s="82" t="str">
        <x:v>COMPLETE</x:v>
      </x:c>
      <x:c r="J78" s="82" t="str">
        <x:v>COMPLETE / INCOMPLETE / UNASSEMBLED / DISASSEMBLED / MIXED / UNKNOWN；按报关批次实际状态填写。</x:v>
      </x:c>
      <x:c r="K78" s="84"/>
      <x:c r="L78" s="84"/>
      <x:c r="M78" s="84" t="str">
        <x:v>物流包装</x:v>
      </x:c>
      <x:c r="N78" s="84"/>
      <x:c r="O78" s="88"/>
      <x:c r="P78" s="84" t="str">
        <x:v>待填报</x:v>
      </x:c>
      <x:c r="Q78" s="84"/>
      <x:c r="R78" s="94" t="str">
        <x:v>影响CCU边界。</x:v>
      </x:c>
      <x:c r="S78" s="94" t="str">
        <x:v>P.U. (A) 384/2025 pp.1251-1252</x:v>
      </x:c>
    </x:row>
    <x:row r="79" ht="46" customHeight="1">
      <x:c r="A79" s="82" t="str">
        <x:v>TP-074</x:v>
      </x:c>
      <x:c r="B79" s="82" t="str">
        <x:v>CCU-STEERING-GEAR-COLUMN</x:v>
      </x:c>
      <x:c r="C79" s="82" t="str">
        <x:v>转向器或转向柱总成</x:v>
      </x:c>
      <x:c r="D79" s="82" t="str">
        <x:v>part.intended_use</x:v>
      </x:c>
      <x:c r="E79" s="82" t="str">
        <x:v>用途</x:v>
      </x:c>
      <x:c r="F79" s="82" t="str">
        <x:v>是</x:v>
      </x:c>
      <x:c r="G79" s="82" t="str">
        <x:v>枚举</x:v>
      </x:c>
      <x:c r="H79" s="82" t="str"/>
      <x:c r="I79" s="82" t="str">
        <x:v>OEM_KD</x:v>
      </x:c>
      <x:c r="J79" s="82" t="str">
        <x:v>OEM_KD / REPLACEMENT / SPARE_PART / OTHER；说明OEM KD、售后替换或备件。</x:v>
      </x:c>
      <x:c r="K79" s="84"/>
      <x:c r="L79" s="84"/>
      <x:c r="M79" s="84" t="str">
        <x:v>转向系统工程</x:v>
      </x:c>
      <x:c r="N79" s="84"/>
      <x:c r="O79" s="88"/>
      <x:c r="P79" s="84" t="str">
        <x:v>待填报</x:v>
      </x:c>
      <x:c r="Q79" s="84"/>
      <x:c r="R79" s="94" t="str">
        <x:v>监管和项目适用性。</x:v>
      </x:c>
      <x:c r="S79" s="94" t="str">
        <x:v>P.U. (A) 384/2025 pp.1251-1252</x:v>
      </x:c>
    </x:row>
    <x:row r="80" ht="46" customHeight="1">
      <x:c r="A80" s="82" t="str">
        <x:v>TP-075</x:v>
      </x:c>
      <x:c r="B80" s="82" t="str">
        <x:v>CCU-SHOCK-ABSORBER-STRUT</x:v>
      </x:c>
      <x:c r="C80" s="82" t="str">
        <x:v>悬架减振器或支柱</x:v>
      </x:c>
      <x:c r="D80" s="82" t="str">
        <x:v>vehicle.intended_heading</x:v>
      </x:c>
      <x:c r="E80" s="82" t="str">
        <x:v>目标整车品目</x:v>
      </x:c>
      <x:c r="F80" s="82" t="str">
        <x:v>是</x:v>
      </x:c>
      <x:c r="G80" s="82" t="str">
        <x:v>枚举</x:v>
      </x:c>
      <x:c r="H80" s="82" t="str"/>
      <x:c r="I80" s="82" t="str">
        <x:v>8703</x:v>
      </x:c>
      <x:c r="J80" s="82" t="str">
        <x:v>8701 / 8702 / 8703 / 8704 / 8705 / OTHER；普通乘用车填写8703。</x:v>
      </x:c>
      <x:c r="K80" s="84"/>
      <x:c r="L80" s="84"/>
      <x:c r="M80" s="84" t="str">
        <x:v>悬架系统工程</x:v>
      </x:c>
      <x:c r="N80" s="84"/>
      <x:c r="O80" s="88"/>
      <x:c r="P80" s="84" t="str">
        <x:v>待填报</x:v>
      </x:c>
      <x:c r="Q80" s="84"/>
      <x:c r="R80" s="94" t="str">
        <x:v>满足8708809200车辆用途。</x:v>
      </x:c>
      <x:c r="S80" s="94" t="str">
        <x:v>P.U. (A) 384/2025 pp.1249-1250</x:v>
      </x:c>
    </x:row>
    <x:row r="81" ht="46" customHeight="1">
      <x:c r="A81" s="82" t="str">
        <x:v>TP-076</x:v>
      </x:c>
      <x:c r="B81" s="82" t="str">
        <x:v>CCU-SHOCK-ABSORBER-STRUT</x:v>
      </x:c>
      <x:c r="C81" s="82" t="str">
        <x:v>悬架减振器或支柱</x:v>
      </x:c>
      <x:c r="D81" s="82" t="str">
        <x:v>part.presentation_scope</x:v>
      </x:c>
      <x:c r="E81" s="82" t="str">
        <x:v>呈验对象范围</x:v>
      </x:c>
      <x:c r="F81" s="82" t="str">
        <x:v>是</x:v>
      </x:c>
      <x:c r="G81" s="82" t="str">
        <x:v>枚举</x:v>
      </x:c>
      <x:c r="H81" s="82" t="str"/>
      <x:c r="I81" s="82" t="str"/>
      <x:c r="J81" s="82" t="str">
        <x:v>SHOCK_ABSORBER / STRUT / SUSPENSION_PART / COMPLETE_SUSPENSION_SYSTEM / OTHER；本CCU覆盖减振器、支柱或其他悬架零件。</x:v>
      </x:c>
      <x:c r="K81" s="84"/>
      <x:c r="L81" s="84"/>
      <x:c r="M81" s="84" t="str">
        <x:v>悬架系统工程</x:v>
      </x:c>
      <x:c r="N81" s="84"/>
      <x:c r="O81" s="88"/>
      <x:c r="P81" s="84" t="str">
        <x:v>待填报</x:v>
      </x:c>
      <x:c r="Q81" s="84"/>
      <x:c r="R81" s="94" t="str">
        <x:v>零件→8708809200；完整悬架系统需重新分配CCU。</x:v>
      </x:c>
      <x:c r="S81" s="94" t="str">
        <x:v>P.U. (A) 384/2025 pp.1249-1250</x:v>
      </x:c>
    </x:row>
    <x:row r="82" ht="46" customHeight="1">
      <x:c r="A82" s="82" t="str">
        <x:v>TP-077</x:v>
      </x:c>
      <x:c r="B82" s="82" t="str">
        <x:v>CCU-SHOCK-ABSORBER-STRUT</x:v>
      </x:c>
      <x:c r="C82" s="82" t="str">
        <x:v>悬架减振器或支柱</x:v>
      </x:c>
      <x:c r="D82" s="82" t="str">
        <x:v>part.configuration</x:v>
      </x:c>
      <x:c r="E82" s="82" t="str">
        <x:v>结构形式</x:v>
      </x:c>
      <x:c r="F82" s="82" t="str">
        <x:v>是</x:v>
      </x:c>
      <x:c r="G82" s="82" t="str">
        <x:v>枚举</x:v>
      </x:c>
      <x:c r="H82" s="82" t="str"/>
      <x:c r="I82" s="82" t="str"/>
      <x:c r="J82" s="82" t="str">
        <x:v>TWIN_TUBE / MONOTUBE / MACPHERSON_STRUT / AIR_DAMPER / OTHER；按图纸填写。</x:v>
      </x:c>
      <x:c r="K82" s="84"/>
      <x:c r="L82" s="84"/>
      <x:c r="M82" s="84" t="str">
        <x:v>悬架系统工程</x:v>
      </x:c>
      <x:c r="N82" s="84"/>
      <x:c r="O82" s="88"/>
      <x:c r="P82" s="84" t="str">
        <x:v>待填报</x:v>
      </x:c>
      <x:c r="Q82" s="84"/>
      <x:c r="R82" s="94" t="str">
        <x:v>产品识别。</x:v>
      </x:c>
      <x:c r="S82" s="94" t="str">
        <x:v>P.U. (A) 384/2025 pp.1249-1250</x:v>
      </x:c>
    </x:row>
    <x:row r="83" ht="46" customHeight="1">
      <x:c r="A83" s="82" t="str">
        <x:v>TP-078</x:v>
      </x:c>
      <x:c r="B83" s="82" t="str">
        <x:v>CCU-SHOCK-ABSORBER-STRUT</x:v>
      </x:c>
      <x:c r="C83" s="82" t="str">
        <x:v>悬架减振器或支柱</x:v>
      </x:c>
      <x:c r="D83" s="82" t="str">
        <x:v>part.electronic_controlled</x:v>
      </x:c>
      <x:c r="E83" s="82" t="str">
        <x:v>是否电子可调</x:v>
      </x:c>
      <x:c r="F83" s="82" t="str">
        <x:v>是</x:v>
      </x:c>
      <x:c r="G83" s="82" t="str">
        <x:v>布尔</x:v>
      </x:c>
      <x:c r="H83" s="82" t="str"/>
      <x:c r="I83" s="82" t="str"/>
      <x:c r="J83" s="82" t="str">
        <x:v>是 / 否 / 待确认；说明电磁阀/执行器。</x:v>
      </x:c>
      <x:c r="K83" s="84"/>
      <x:c r="L83" s="84"/>
      <x:c r="M83" s="84" t="str">
        <x:v>悬架系统工程</x:v>
      </x:c>
      <x:c r="N83" s="84"/>
      <x:c r="O83" s="88"/>
      <x:c r="P83" s="84" t="str">
        <x:v>待填报</x:v>
      </x:c>
      <x:c r="Q83" s="84"/>
      <x:c r="R83" s="94" t="str">
        <x:v>检查控制电子内容。</x:v>
      </x:c>
      <x:c r="S83" s="94" t="str">
        <x:v>P.U. (A) 384/2025 pp.1249-1250</x:v>
      </x:c>
    </x:row>
    <x:row r="84" ht="46" customHeight="1">
      <x:c r="A84" s="82" t="str">
        <x:v>TP-079</x:v>
      </x:c>
      <x:c r="B84" s="82" t="str">
        <x:v>CCU-SHOCK-ABSORBER-STRUT</x:v>
      </x:c>
      <x:c r="C84" s="82" t="str">
        <x:v>悬架减振器或支柱</x:v>
      </x:c>
      <x:c r="D84" s="82" t="str">
        <x:v>part.includes_spring</x:v>
      </x:c>
      <x:c r="E84" s="82" t="str">
        <x:v>是否包含弹簧</x:v>
      </x:c>
      <x:c r="F84" s="82" t="str">
        <x:v>是</x:v>
      </x:c>
      <x:c r="G84" s="82" t="str">
        <x:v>布尔</x:v>
      </x:c>
      <x:c r="H84" s="82" t="str"/>
      <x:c r="I84" s="82" t="str"/>
      <x:c r="J84" s="82" t="str">
        <x:v>是 / 否 / 待确认；说明是否已装配。</x:v>
      </x:c>
      <x:c r="K84" s="84"/>
      <x:c r="L84" s="84"/>
      <x:c r="M84" s="84" t="str">
        <x:v>悬架系统工程</x:v>
      </x:c>
      <x:c r="N84" s="84"/>
      <x:c r="O84" s="88"/>
      <x:c r="P84" s="84" t="str">
        <x:v>待填报</x:v>
      </x:c>
      <x:c r="Q84" s="84"/>
      <x:c r="R84" s="94" t="str">
        <x:v>影响悬架零件/系统边界。</x:v>
      </x:c>
      <x:c r="S84" s="94" t="str">
        <x:v>P.U. (A) 384/2025 pp.1249-1250</x:v>
      </x:c>
    </x:row>
    <x:row r="85" ht="46" customHeight="1">
      <x:c r="A85" s="82" t="str">
        <x:v>TP-080</x:v>
      </x:c>
      <x:c r="B85" s="82" t="str">
        <x:v>CCU-SHOCK-ABSORBER-STRUT</x:v>
      </x:c>
      <x:c r="C85" s="82" t="str">
        <x:v>悬架减振器或支柱</x:v>
      </x:c>
      <x:c r="D85" s="82" t="str">
        <x:v>part.includes_knuckle</x:v>
      </x:c>
      <x:c r="E85" s="82" t="str">
        <x:v>是否包含转向节</x:v>
      </x:c>
      <x:c r="F85" s="82" t="str">
        <x:v>是</x:v>
      </x:c>
      <x:c r="G85" s="82" t="str">
        <x:v>布尔</x:v>
      </x:c>
      <x:c r="H85" s="82" t="str"/>
      <x:c r="I85" s="82" t="str"/>
      <x:c r="J85" s="82" t="str">
        <x:v>是 / 否 / 待确认；说明是否已装配。</x:v>
      </x:c>
      <x:c r="K85" s="84"/>
      <x:c r="L85" s="84"/>
      <x:c r="M85" s="84" t="str">
        <x:v>悬架系统工程</x:v>
      </x:c>
      <x:c r="N85" s="84"/>
      <x:c r="O85" s="88"/>
      <x:c r="P85" s="84" t="str">
        <x:v>待填报</x:v>
      </x:c>
      <x:c r="Q85" s="84"/>
      <x:c r="R85" s="94" t="str">
        <x:v>可能扩大总成边界。</x:v>
      </x:c>
      <x:c r="S85" s="94" t="str">
        <x:v>P.U. (A) 384/2025 pp.1249-1250</x:v>
      </x:c>
    </x:row>
    <x:row r="86" ht="46" customHeight="1">
      <x:c r="A86" s="82" t="str">
        <x:v>TP-081</x:v>
      </x:c>
      <x:c r="B86" s="82" t="str">
        <x:v>CCU-SHOCK-ABSORBER-STRUT</x:v>
      </x:c>
      <x:c r="C86" s="82" t="str">
        <x:v>悬架减振器或支柱</x:v>
      </x:c>
      <x:c r="D86" s="82" t="str">
        <x:v>part.includes_control_ecu</x:v>
      </x:c>
      <x:c r="E86" s="82" t="str">
        <x:v>是否包含控制ECU</x:v>
      </x:c>
      <x:c r="F86" s="82" t="str">
        <x:v>是</x:v>
      </x:c>
      <x:c r="G86" s="82" t="str">
        <x:v>布尔</x:v>
      </x:c>
      <x:c r="H86" s="82" t="str"/>
      <x:c r="I86" s="82" t="str"/>
      <x:c r="J86" s="82" t="str">
        <x:v>是 / 否 / 待确认；说明是否可分离。</x:v>
      </x:c>
      <x:c r="K86" s="84"/>
      <x:c r="L86" s="84"/>
      <x:c r="M86" s="84" t="str">
        <x:v>悬架系统工程</x:v>
      </x:c>
      <x:c r="N86" s="84"/>
      <x:c r="O86" s="88"/>
      <x:c r="P86" s="84" t="str">
        <x:v>待填报</x:v>
      </x:c>
      <x:c r="Q86" s="84"/>
      <x:c r="R86" s="94" t="str">
        <x:v>检查电子控制器特定品目。</x:v>
      </x:c>
      <x:c r="S86" s="94" t="str">
        <x:v>P.U. (A) 384/2025 pp.1249-1250</x:v>
      </x:c>
    </x:row>
    <x:row r="87" ht="46" customHeight="1">
      <x:c r="A87" s="82" t="str">
        <x:v>TP-082</x:v>
      </x:c>
      <x:c r="B87" s="82" t="str">
        <x:v>CCU-SHOCK-ABSORBER-STRUT</x:v>
      </x:c>
      <x:c r="C87" s="82" t="str">
        <x:v>悬架减振器或支柱</x:v>
      </x:c>
      <x:c r="D87" s="82" t="str">
        <x:v>shipment.assembly_state</x:v>
      </x:c>
      <x:c r="E87" s="82" t="str">
        <x:v>进口呈验状态</x:v>
      </x:c>
      <x:c r="F87" s="82" t="str">
        <x:v>是</x:v>
      </x:c>
      <x:c r="G87" s="82" t="str">
        <x:v>枚举</x:v>
      </x:c>
      <x:c r="H87" s="82" t="str"/>
      <x:c r="I87" s="82" t="str">
        <x:v>COMPLETE</x:v>
      </x:c>
      <x:c r="J87" s="82" t="str">
        <x:v>COMPLETE / INCOMPLETE / UNASSEMBLED / DISASSEMBLED / MIXED / UNKNOWN；按报关批次实际状态填写。</x:v>
      </x:c>
      <x:c r="K87" s="84"/>
      <x:c r="L87" s="84"/>
      <x:c r="M87" s="84" t="str">
        <x:v>物流包装</x:v>
      </x:c>
      <x:c r="N87" s="84"/>
      <x:c r="O87" s="88"/>
      <x:c r="P87" s="84" t="str">
        <x:v>待填报</x:v>
      </x:c>
      <x:c r="Q87" s="84"/>
      <x:c r="R87" s="94" t="str">
        <x:v>影响CCU边界。</x:v>
      </x:c>
      <x:c r="S87" s="94" t="str">
        <x:v>P.U. (A) 384/2025 pp.1249-1250</x:v>
      </x:c>
    </x:row>
    <x:row r="88" ht="46" customHeight="1">
      <x:c r="A88" s="82" t="str">
        <x:v>TP-083</x:v>
      </x:c>
      <x:c r="B88" s="82" t="str">
        <x:v>CCU-SHOCK-ABSORBER-STRUT</x:v>
      </x:c>
      <x:c r="C88" s="82" t="str">
        <x:v>悬架减振器或支柱</x:v>
      </x:c>
      <x:c r="D88" s="82" t="str">
        <x:v>part.intended_use</x:v>
      </x:c>
      <x:c r="E88" s="82" t="str">
        <x:v>用途</x:v>
      </x:c>
      <x:c r="F88" s="82" t="str">
        <x:v>是</x:v>
      </x:c>
      <x:c r="G88" s="82" t="str">
        <x:v>枚举</x:v>
      </x:c>
      <x:c r="H88" s="82" t="str"/>
      <x:c r="I88" s="82" t="str">
        <x:v>OEM_KD</x:v>
      </x:c>
      <x:c r="J88" s="82" t="str">
        <x:v>OEM_KD / REPLACEMENT / SPARE_PART / OTHER；说明OEM KD、售后替换或备件。</x:v>
      </x:c>
      <x:c r="K88" s="84"/>
      <x:c r="L88" s="84"/>
      <x:c r="M88" s="84" t="str">
        <x:v>悬架系统工程</x:v>
      </x:c>
      <x:c r="N88" s="84"/>
      <x:c r="O88" s="88"/>
      <x:c r="P88" s="84" t="str">
        <x:v>待填报</x:v>
      </x:c>
      <x:c r="Q88" s="84"/>
      <x:c r="R88" s="94" t="str">
        <x:v>监管和项目适用性。</x:v>
      </x:c>
      <x:c r="S88" s="94" t="str">
        <x:v>P.U. (A) 384/2025 pp.1249-1250</x:v>
      </x:c>
    </x:row>
  </x:sheetData>
  <x:mergeCells>
    <x:mergeCell ref="A1:S1"/>
    <x:mergeCell ref="A2:S2"/>
    <x:mergeCell ref="A3:S3"/>
  </x:mergeCells>
  <x:conditionalFormatting sqref="K6:K88">
    <x:cfRule type="expression" dxfId="1" priority="1">
      <x:formula>AND($F6="是",$K6="")</x:formula>
    </x:cfRule>
  </x:conditionalFormatting>
  <x:conditionalFormatting sqref="P6:P88">
    <x:cfRule type="containsText" dxfId="2" priority="2" operator="containsText" text="审核通过"/>
  </x:conditionalFormatting>
  <x:dataValidations count="73">
    <x:dataValidation type="list" sqref="M6:M88">
      <x:formula1>"关务/税务,电驱系统工程,功率电子工程,车身工程,底盘工程,制动系统工程,转向系统工程,悬架系统工程,采购/SQE,物流包装,法规认证,项目管理"</x:formula1>
    </x:dataValidation>
    <x:dataValidation type="list" sqref="P6:P88">
      <x:formula1>"待填报,填报中,待审核,退回补充,审核通过"</x:formula1>
    </x:dataValidation>
    <x:dataValidation type="list" sqref="K6">
      <x:formula1>"MULTI_PHASE_AC,SINGLE_PHASE_AC,DC,OTHER"</x:formula1>
    </x:dataValidation>
    <x:dataValidation type="list" sqref="K8">
      <x:formula1>"CONTINUOUS_RATED,MAXIMUM_30MIN,PEAK,UNKNOWN"</x:formula1>
    </x:dataValidation>
    <x:dataValidation type="list" sqref="K9">
      <x:formula1>"TRACTION_MOTOR,MOTOR_GENERATOR,INTEGRATED_EDRIVE,OTHER"</x:formula1>
    </x:dataValidation>
    <x:dataValidation type="list" sqref="K10">
      <x:formula1>"是,否,待确认"</x:formula1>
    </x:dataValidation>
    <x:dataValidation type="list" sqref="K11">
      <x:formula1>"是,否,待确认"</x:formula1>
    </x:dataValidation>
    <x:dataValidation type="list" sqref="K13">
      <x:formula1>"8701,8702,8703,8704,8705,OTHER"</x:formula1>
    </x:dataValidation>
    <x:dataValidation type="list" sqref="K14">
      <x:formula1>"COMPLETE,INCOMPLETE,UNASSEMBLED,DISASSEMBLED,MIXED,UNKNOWN"</x:formula1>
    </x:dataValidation>
    <x:dataValidation type="list" sqref="K15">
      <x:formula1>"DC_TO_CONTROLLED_MOTOR_CURRENT,AC_TO_DC_RECTIFICATION,DC_TO_DC_CONVERSION,MULTIFUNCTION"</x:formula1>
    </x:dataValidation>
    <x:dataValidation type="list" sqref="K18">
      <x:formula1>"CONTROLLED_AC,DC,OTHER"</x:formula1>
    </x:dataValidation>
    <x:dataValidation type="list" sqref="K19">
      <x:formula1>"是,否,待确认"</x:formula1>
    </x:dataValidation>
    <x:dataValidation type="list" sqref="K20">
      <x:formula1>"是,否,待确认"</x:formula1>
    </x:dataValidation>
    <x:dataValidation type="list" sqref="K21">
      <x:formula1>"是,否,待确认"</x:formula1>
    </x:dataValidation>
    <x:dataValidation type="list" sqref="K22">
      <x:formula1>"COMPLETE,INCOMPLETE,UNASSEMBLED,DISASSEMBLED,MIXED,UNKNOWN"</x:formula1>
    </x:dataValidation>
    <x:dataValidation type="list" sqref="K23">
      <x:formula1>"BATTERY_CHARGING,AC_TO_DC_RECTIFICATION,MULTIFUNCTION,OTHER"</x:formula1>
    </x:dataValidation>
    <x:dataValidation type="list" sqref="K26">
      <x:formula1>"SINGLE_PHASE,THREE_PHASE,MULTI_MODE,UNKNOWN"</x:formula1>
    </x:dataValidation>
    <x:dataValidation type="list" sqref="K28">
      <x:formula1>"是,否,待确认"</x:formula1>
    </x:dataValidation>
    <x:dataValidation type="list" sqref="K29">
      <x:formula1>"是,否,待确认"</x:formula1>
    </x:dataValidation>
    <x:dataValidation type="list" sqref="K30">
      <x:formula1>"是,否,待确认"</x:formula1>
    </x:dataValidation>
    <x:dataValidation type="list" sqref="K31">
      <x:formula1>"是,否,待确认"</x:formula1>
    </x:dataValidation>
    <x:dataValidation type="list" sqref="K32">
      <x:formula1>"COMPLETE,INCOMPLETE,UNASSEMBLED,DISASSEMBLED,MIXED,UNKNOWN"</x:formula1>
    </x:dataValidation>
    <x:dataValidation type="list" sqref="K33">
      <x:formula1>"DC_TO_DC_CONVERSION,BATTERY_CHARGING,INVERSION,MULTIFUNCTION"</x:formula1>
    </x:dataValidation>
    <x:dataValidation type="list" sqref="K37">
      <x:formula1>"是,否,待确认"</x:formula1>
    </x:dataValidation>
    <x:dataValidation type="list" sqref="K38">
      <x:formula1>"是,否,待确认"</x:formula1>
    </x:dataValidation>
    <x:dataValidation type="list" sqref="K39">
      <x:formula1>"是,否,待确认"</x:formula1>
    </x:dataValidation>
    <x:dataValidation type="list" sqref="K40">
      <x:formula1>"是,否,待确认"</x:formula1>
    </x:dataValidation>
    <x:dataValidation type="list" sqref="K41">
      <x:formula1>"COMPLETE,INCOMPLETE,UNASSEMBLED,DISASSEMBLED,MIXED,UNKNOWN"</x:formula1>
    </x:dataValidation>
    <x:dataValidation type="list" sqref="K42">
      <x:formula1>"8702,8703,8704,OTHER"</x:formula1>
    </x:dataValidation>
    <x:dataValidation type="list" sqref="K43">
      <x:formula1>"ORDINARY_PASSENGER_CAR,GO_KART,GOLF_CAR,AMBULANCE,SNOW_VEHICLE,OTHER"</x:formula1>
    </x:dataValidation>
    <x:dataValidation type="list" sqref="K44">
      <x:formula1>"是,否,待确认"</x:formula1>
    </x:dataValidation>
    <x:dataValidation type="list" sqref="K45">
      <x:formula1>"是,否,待确认"</x:formula1>
    </x:dataValidation>
    <x:dataValidation type="list" sqref="K46">
      <x:formula1>"是,否,待确认"</x:formula1>
    </x:dataValidation>
    <x:dataValidation type="list" sqref="K47">
      <x:formula1>"是,否,待确认"</x:formula1>
    </x:dataValidation>
    <x:dataValidation type="list" sqref="K48">
      <x:formula1>"COMPLETE,INCOMPLETE,UNASSEMBLED,DISASSEMBLED,MIXED,UNKNOWN"</x:formula1>
    </x:dataValidation>
    <x:dataValidation type="list" sqref="K49">
      <x:formula1>"是,否,待确认"</x:formula1>
    </x:dataValidation>
    <x:dataValidation type="list" sqref="K50">
      <x:formula1>"是,否,待确认"</x:formula1>
    </x:dataValidation>
    <x:dataValidation type="list" sqref="K51">
      <x:formula1>"是,否,待确认"</x:formula1>
    </x:dataValidation>
    <x:dataValidation type="list" sqref="K52">
      <x:formula1>"8701,8702,8703,8704,OTHER"</x:formula1>
    </x:dataValidation>
    <x:dataValidation type="list" sqref="K53">
      <x:formula1>"COMPLETE_WHEEL,HUB_CAP,OTHER_WHEEL_PART_OR_ACCESSORY"</x:formula1>
    </x:dataValidation>
    <x:dataValidation type="list" sqref="K54">
      <x:formula1>"STEEL,ALUMINIUM_ALLOY,MAGNESIUM_ALLOY,OTHER"</x:formula1>
    </x:dataValidation>
    <x:dataValidation type="list" sqref="K56">
      <x:formula1>"是,否,待确认"</x:formula1>
    </x:dataValidation>
    <x:dataValidation type="list" sqref="K57">
      <x:formula1>"是,否,待确认"</x:formula1>
    </x:dataValidation>
    <x:dataValidation type="list" sqref="K58">
      <x:formula1>"是,否,待确认"</x:formula1>
    </x:dataValidation>
    <x:dataValidation type="list" sqref="K59">
      <x:formula1>"COMPLETE,INCOMPLETE,UNASSEMBLED,DISASSEMBLED,MIXED,UNKNOWN"</x:formula1>
    </x:dataValidation>
    <x:dataValidation type="list" sqref="K60">
      <x:formula1>"OEM_KD,REPLACEMENT,SPARE_PART,OTHER"</x:formula1>
    </x:dataValidation>
    <x:dataValidation type="list" sqref="K61">
      <x:formula1>"8701,8702,8703,8704,OTHER"</x:formula1>
    </x:dataValidation>
    <x:dataValidation type="list" sqref="K62">
      <x:formula1>"BRAKE_DRUM,BRAKE_DISC,BRAKE_PIPE,CALIPER,BRAKE_PAD,BRAKE_SHOE,FOUNDATION_BRAKE_ASSEMBLY,OTHER"</x:formula1>
    </x:dataValidation>
    <x:dataValidation type="list" sqref="K63">
      <x:formula1>"DISC,DRUM,MIXED,OTHER"</x:formula1>
    </x:dataValidation>
    <x:dataValidation type="list" sqref="K64">
      <x:formula1>"是,否,待确认"</x:formula1>
    </x:dataValidation>
    <x:dataValidation type="list" sqref="K65">
      <x:formula1>"是,否,待确认"</x:formula1>
    </x:dataValidation>
    <x:dataValidation type="list" sqref="K66">
      <x:formula1>"是,否,待确认"</x:formula1>
    </x:dataValidation>
    <x:dataValidation type="list" sqref="K67">
      <x:formula1>"是,否,待确认"</x:formula1>
    </x:dataValidation>
    <x:dataValidation type="list" sqref="K68">
      <x:formula1>"是,否,待确认"</x:formula1>
    </x:dataValidation>
    <x:dataValidation type="list" sqref="K69">
      <x:formula1>"OEM_KD,REPLACEMENT,SPARE_PART,OTHER"</x:formula1>
    </x:dataValidation>
    <x:dataValidation type="list" sqref="K70">
      <x:formula1>"COMPLETE,INCOMPLETE,UNASSEMBLED,DISASSEMBLED,MIXED,UNKNOWN"</x:formula1>
    </x:dataValidation>
    <x:dataValidation type="list" sqref="K71">
      <x:formula1>"8701,8702,8703,8704,OTHER"</x:formula1>
    </x:dataValidation>
    <x:dataValidation type="list" sqref="K72">
      <x:formula1>"STEERING_GEAR,STEERING_RACK,STEERING_COLUMN,STEERING_WHEEL,OTHER"</x:formula1>
    </x:dataValidation>
    <x:dataValidation type="list" sqref="K73">
      <x:formula1>"MECHANICAL,HYDRAULIC,ELECTRO_HYDRAULIC,ELECTRIC,OTHER"</x:formula1>
    </x:dataValidation>
    <x:dataValidation type="list" sqref="K74">
      <x:formula1>"是,否,待确认"</x:formula1>
    </x:dataValidation>
    <x:dataValidation type="list" sqref="K75">
      <x:formula1>"是,否,待确认"</x:formula1>
    </x:dataValidation>
    <x:dataValidation type="list" sqref="K76">
      <x:formula1>"是,否,待确认"</x:formula1>
    </x:dataValidation>
    <x:dataValidation type="list" sqref="K78">
      <x:formula1>"COMPLETE,INCOMPLETE,UNASSEMBLED,DISASSEMBLED,MIXED,UNKNOWN"</x:formula1>
    </x:dataValidation>
    <x:dataValidation type="list" sqref="K79">
      <x:formula1>"OEM_KD,REPLACEMENT,SPARE_PART,OTHER"</x:formula1>
    </x:dataValidation>
    <x:dataValidation type="list" sqref="K80">
      <x:formula1>"8701,8702,8703,8704,8705,OTHER"</x:formula1>
    </x:dataValidation>
    <x:dataValidation type="list" sqref="K81">
      <x:formula1>"SHOCK_ABSORBER,STRUT,SUSPENSION_PART,COMPLETE_SUSPENSION_SYSTEM,OTHER"</x:formula1>
    </x:dataValidation>
    <x:dataValidation type="list" sqref="K82">
      <x:formula1>"TWIN_TUBE,MONOTUBE,MACPHERSON_STRUT,AIR_DAMPER,OTHER"</x:formula1>
    </x:dataValidation>
    <x:dataValidation type="list" sqref="K83">
      <x:formula1>"是,否,待确认"</x:formula1>
    </x:dataValidation>
    <x:dataValidation type="list" sqref="K84">
      <x:formula1>"是,否,待确认"</x:formula1>
    </x:dataValidation>
    <x:dataValidation type="list" sqref="K85">
      <x:formula1>"是,否,待确认"</x:formula1>
    </x:dataValidation>
    <x:dataValidation type="list" sqref="K86">
      <x:formula1>"是,否,待确认"</x:formula1>
    </x:dataValidation>
    <x:dataValidation type="list" sqref="K87">
      <x:formula1>"COMPLETE,INCOMPLETE,UNASSEMBLED,DISASSEMBLED,MIXED,UNKNOWN"</x:formula1>
    </x:dataValidation>
    <x:dataValidation type="list" sqref="K88">
      <x:formula1>"OEM_KD,REPLACEMENT,SPARE_PART,OTHER"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05932c987941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39" hidden="0" customWidth="1"/>
    <x:col min="5" max="5" width="46" hidden="0" customWidth="1"/>
    <x:col min="6" max="6" width="36" hidden="0" customWidth="1"/>
    <x:col min="7" max="7" width="12" hidden="0" customWidth="1"/>
    <x:col min="8" max="8" width="12" hidden="0" customWidth="1"/>
    <x:col min="9" max="9" width="42" hidden="0" customWidth="1"/>
    <x:col min="10" max="10" width="20" hidden="0" customWidth="1"/>
    <x:col min="11" max="11" width="20" hidden="0" customWidth="1"/>
    <x:col min="12" max="12" width="55" hidden="0" customWidth="1"/>
    <x:col min="13" max="13" width="34" hidden="0" customWidth="1"/>
  </x:cols>
  <x:sheetData>
    <x:row r="1" ht="34" customHeight="1">
      <x:c r="A1" s="4" t="str">
        <x:v>马来西亚PDK 2025归类参考（非企业输入区）</x:v>
      </x:c>
      <x:c r="B1" s="4" t="str">
        <x:v>马来西亚PDK 2025归类参考（非企业输入区）</x:v>
      </x:c>
      <x:c r="C1" s="4" t="str">
        <x:v>马来西亚PDK 2025归类参考（非企业输入区）</x:v>
      </x:c>
      <x:c r="D1" s="4" t="str">
        <x:v>马来西亚PDK 2025归类参考（非企业输入区）</x:v>
      </x:c>
      <x:c r="E1" s="4" t="str">
        <x:v>马来西亚PDK 2025归类参考（非企业输入区）</x:v>
      </x:c>
      <x:c r="F1" s="4" t="str">
        <x:v>马来西亚PDK 2025归类参考（非企业输入区）</x:v>
      </x:c>
      <x:c r="G1" s="4" t="str">
        <x:v>马来西亚PDK 2025归类参考（非企业输入区）</x:v>
      </x:c>
      <x:c r="H1" s="4" t="str">
        <x:v>马来西亚PDK 2025归类参考（非企业输入区）</x:v>
      </x:c>
      <x:c r="I1" s="4" t="str">
        <x:v>马来西亚PDK 2025归类参考（非企业输入区）</x:v>
      </x:c>
      <x:c r="J1" s="4" t="str">
        <x:v>马来西亚PDK 2025归类参考（非企业输入区）</x:v>
      </x:c>
      <x:c r="K1" s="4" t="str">
        <x:v>马来西亚PDK 2025归类参考（非企业输入区）</x:v>
      </x:c>
      <x:c r="L1" s="4" t="str">
        <x:v>马来西亚PDK 2025归类参考（非企业输入区）</x:v>
      </x:c>
      <x:c r="M1" s="4" t="str">
        <x:v>马来西亚PDK 2025归类参考（非企业输入区）</x:v>
      </x:c>
    </x:row>
    <x:row r="2">
      <x:c r="A2" s="7" t="str">
        <x:v>本页为关务参考。最终企业料号归类必须满足“03_技术参数采集”的条件，并完成GRI 2(a)、Section XVII排除和监管审核。</x:v>
      </x:c>
      <x:c r="B2" s="7" t="str">
        <x:v>本页为关务参考。最终企业料号归类必须满足“03_技术参数采集”的条件，并完成GRI 2(a)、Section XVII排除和监管审核。</x:v>
      </x:c>
      <x:c r="C2" s="7" t="str">
        <x:v>本页为关务参考。最终企业料号归类必须满足“03_技术参数采集”的条件，并完成GRI 2(a)、Section XVII排除和监管审核。</x:v>
      </x:c>
      <x:c r="D2" s="7" t="str">
        <x:v>本页为关务参考。最终企业料号归类必须满足“03_技术参数采集”的条件，并完成GRI 2(a)、Section XVII排除和监管审核。</x:v>
      </x:c>
      <x:c r="E2" s="7" t="str">
        <x:v>本页为关务参考。最终企业料号归类必须满足“03_技术参数采集”的条件，并完成GRI 2(a)、Section XVII排除和监管审核。</x:v>
      </x:c>
      <x:c r="F2" s="7" t="str">
        <x:v>本页为关务参考。最终企业料号归类必须满足“03_技术参数采集”的条件，并完成GRI 2(a)、Section XVII排除和监管审核。</x:v>
      </x:c>
      <x:c r="G2" s="7" t="str">
        <x:v>本页为关务参考。最终企业料号归类必须满足“03_技术参数采集”的条件，并完成GRI 2(a)、Section XVII排除和监管审核。</x:v>
      </x:c>
      <x:c r="H2" s="7" t="str">
        <x:v>本页为关务参考。最终企业料号归类必须满足“03_技术参数采集”的条件，并完成GRI 2(a)、Section XVII排除和监管审核。</x:v>
      </x:c>
      <x:c r="I2" s="7" t="str">
        <x:v>本页为关务参考。最终企业料号归类必须满足“03_技术参数采集”的条件，并完成GRI 2(a)、Section XVII排除和监管审核。</x:v>
      </x:c>
      <x:c r="J2" s="7" t="str">
        <x:v>本页为关务参考。最终企业料号归类必须满足“03_技术参数采集”的条件，并完成GRI 2(a)、Section XVII排除和监管审核。</x:v>
      </x:c>
      <x:c r="K2" s="7" t="str">
        <x:v>本页为关务参考。最终企业料号归类必须满足“03_技术参数采集”的条件，并完成GRI 2(a)、Section XVII排除和监管审核。</x:v>
      </x:c>
      <x:c r="L2" s="7" t="str">
        <x:v>本页为关务参考。最终企业料号归类必须满足“03_技术参数采集”的条件，并完成GRI 2(a)、Section XVII排除和监管审核。</x:v>
      </x:c>
      <x:c r="M2" s="7" t="str">
        <x:v>本页为关务参考。最终企业料号归类必须满足“03_技术参数采集”的条件，并完成GRI 2(a)、Section XVII排除和监管审核。</x:v>
      </x:c>
    </x:row>
    <x:row r="4" ht="38" customHeight="1">
      <x:c r="A4" s="73" t="str">
        <x:v>CCU代码</x:v>
      </x:c>
      <x:c r="B4" s="73" t="str">
        <x:v>CCU中文名</x:v>
      </x:c>
      <x:c r="C4" s="73" t="str">
        <x:v>HS6</x:v>
      </x:c>
      <x:c r="D4" s="73" t="str">
        <x:v>有效完整税号/候选</x:v>
      </x:c>
      <x:c r="E4" s="73" t="str">
        <x:v>条件选择规则</x:v>
      </x:c>
      <x:c r="F4" s="73" t="str">
        <x:v>已排除税号/原因</x:v>
      </x:c>
      <x:c r="G4" s="73" t="str">
        <x:v>MFN</x:v>
      </x:c>
      <x:c r="H4" s="73" t="str">
        <x:v>页面SST</x:v>
      </x:c>
      <x:c r="I4" s="73" t="str">
        <x:v>进口监管首轮结果</x:v>
      </x:c>
      <x:c r="J4" s="73" t="str">
        <x:v>映射状态</x:v>
      </x:c>
      <x:c r="K4" s="73" t="str">
        <x:v>官方定位</x:v>
      </x:c>
      <x:c r="L4" s="73" t="str">
        <x:v>官方URL</x:v>
      </x:c>
      <x:c r="M4" s="73" t="str">
        <x:v>风险提示</x:v>
      </x:c>
    </x:row>
    <x:row r="5" ht="66" customHeight="1">
      <x:c r="A5" s="79" t="str">
        <x:v>CCU-TRACTION-MOTOR</x:v>
      </x:c>
      <x:c r="B5" s="79" t="str">
        <x:v>电动汽车驱动电机</x:v>
      </x:c>
      <x:c r="C5" s="79" t="str">
        <x:v>850152 / 850153</x:v>
      </x:c>
      <x:c r="D5" s="79" t="str">
        <x:v>8501521200 / 8501522200 / 8501523200 / 8501531000</x:v>
      </x:c>
      <x:c r="E5" s="79" t="str">
        <x:v>&gt;0.75≤1 kW / &gt;1≤37.5 kW / &gt;37.5≤75 kW / &gt;75 kW；且为多相交流、车辆用</x:v>
      </x:c>
      <x:c r="F5" s="79" t="str"/>
      <x:c r="G5" s="79" t="str">
        <x:v>15% / 0%</x:v>
      </x:c>
      <x:c r="H5" s="79" t="str">
        <x:v>10%</x:v>
      </x:c>
      <x:c r="I5" s="79" t="str">
        <x:v>候选税号监管页No Data；仍检查CKD项目级AP</x:v>
      </x:c>
      <x:c r="J5" s="79" t="str">
        <x:v>VERIFIED条件映射</x:v>
      </x:c>
      <x:c r="K5" s="79" t="str">
        <x:v>PDF 1074-1075</x:v>
      </x:c>
      <x:c r="L5" s="79" t="str">
        <x:v>https://www.customs.gov.my/images/06-prosedur/perintah-kastam/perintah/PUA_384.pdf</x:v>
      </x:c>
      <x:c r="M5" s="79" t="str">
        <x:v>集成齿轮箱/逆变器可能改变归类</x:v>
      </x:c>
    </x:row>
    <x:row r="6" ht="66" customHeight="1">
      <x:c r="A6" s="80" t="str">
        <x:v>CCU-TRACTION-INVERTER</x:v>
      </x:c>
      <x:c r="B6" s="80" t="str">
        <x:v>驱动逆变器</x:v>
      </x:c>
      <x:c r="C6" s="80" t="str">
        <x:v>850440</x:v>
      </x:c>
      <x:c r="D6" s="80" t="str">
        <x:v>8504404000</x:v>
      </x:c>
      <x:c r="E6" s="80" t="str">
        <x:v>主功能为DC转受控电机交流且集成功能不改变主要功能</x:v>
      </x:c>
      <x:c r="F6" s="80" t="str"/>
      <x:c r="G6" s="80" t="str">
        <x:v>0%</x:v>
      </x:c>
      <x:c r="H6" s="80" t="str">
        <x:v>10%</x:v>
      </x:c>
      <x:c r="I6" s="80" t="str">
        <x:v>监管页No Data</x:v>
      </x:c>
      <x:c r="J6" s="80" t="str">
        <x:v>VERIFIED条件映射</x:v>
      </x:c>
      <x:c r="K6" s="80" t="str">
        <x:v>HS Explorer PDK 2025</x:v>
      </x:c>
      <x:c r="L6" s="80" t="str">
        <x:v>https://ezhs.customs.gov.my/</x:v>
      </x:c>
      <x:c r="M6" s="80" t="str">
        <x:v>多功能功率电子需主要功能分析</x:v>
      </x:c>
    </x:row>
    <x:row r="7" ht="66" customHeight="1">
      <x:c r="A7" s="80" t="str">
        <x:v>CCU-ONBOARD-CHARGER</x:v>
      </x:c>
      <x:c r="B7" s="80" t="str">
        <x:v>车载充电机</x:v>
      </x:c>
      <x:c r="C7" s="80" t="str">
        <x:v>850440</x:v>
      </x:c>
      <x:c r="D7" s="80" t="str">
        <x:v>8504402000 / 8504403000 / 8504409000</x:v>
      </x:c>
      <x:c r="E7" s="80" t="str">
        <x:v>&gt;100 kVA充电器 / 其他整流器 / 其他静止式变流器</x:v>
      </x:c>
      <x:c r="F7" s="80" t="str"/>
      <x:c r="G7" s="80" t="str">
        <x:v>0%</x:v>
      </x:c>
      <x:c r="H7" s="80" t="str">
        <x:v>10%</x:v>
      </x:c>
      <x:c r="I7" s="80" t="str">
        <x:v>8504409000显示充电器及WPT条件监管</x:v>
      </x:c>
      <x:c r="J7" s="80" t="str">
        <x:v>CANDIDATE</x:v>
      </x:c>
      <x:c r="K7" s="80" t="str">
        <x:v>HS Explorer PDK 2025</x:v>
      </x:c>
      <x:c r="L7" s="80" t="str">
        <x:v>https://ezhs.customs.gov.my/</x:v>
      </x:c>
      <x:c r="M7" s="80" t="str">
        <x:v>需ST/SIRIM监管范围确认</x:v>
      </x:c>
    </x:row>
    <x:row r="8" ht="66" customHeight="1">
      <x:c r="A8" s="80" t="str">
        <x:v>CCU-DC-DC-CONVERTER</x:v>
      </x:c>
      <x:c r="B8" s="80" t="str">
        <x:v>车载直流变换器</x:v>
      </x:c>
      <x:c r="C8" s="80" t="str">
        <x:v>850440</x:v>
      </x:c>
      <x:c r="D8" s="80" t="str">
        <x:v>8504409000</x:v>
      </x:c>
      <x:c r="E8" s="80" t="str">
        <x:v>主功能为DC-DC，且未集成改变归类的OBC/逆变器</x:v>
      </x:c>
      <x:c r="F8" s="80" t="str"/>
      <x:c r="G8" s="80" t="str">
        <x:v>0%</x:v>
      </x:c>
      <x:c r="H8" s="80" t="str">
        <x:v>10%</x:v>
      </x:c>
      <x:c r="I8" s="80" t="str">
        <x:v>8504409000监管描述为充电器/WPT，需产品范围判断</x:v>
      </x:c>
      <x:c r="J8" s="80" t="str">
        <x:v>CANDIDATE</x:v>
      </x:c>
      <x:c r="K8" s="80" t="str">
        <x:v>HS Explorer PDK 2025</x:v>
      </x:c>
      <x:c r="L8" s="80" t="str">
        <x:v>https://ezhs.customs.gov.my/</x:v>
      </x:c>
      <x:c r="M8" s="80" t="str">
        <x:v>集成充电功能为关键</x:v>
      </x:c>
    </x:row>
    <x:row r="9" ht="66" customHeight="1">
      <x:c r="A9" s="80" t="str">
        <x:v>CCU-PASSENGER-BODY-SHELL</x:v>
      </x:c>
      <x:c r="B9" s="80" t="str">
        <x:v>乘用车车身壳体</x:v>
      </x:c>
      <x:c r="C9" s="80" t="str">
        <x:v>870710</x:v>
      </x:c>
      <x:c r="D9" s="80" t="str">
        <x:v>8707109000</x:v>
      </x:c>
      <x:c r="E9" s="80" t="str">
        <x:v>8703普通乘用车车身，且未因同批呈验形成整车实质特征</x:v>
      </x:c>
      <x:c r="F9" s="80" t="str"/>
      <x:c r="G9" s="80" t="str">
        <x:v>30%</x:v>
      </x:c>
      <x:c r="H9" s="80" t="str">
        <x:v>10%</x:v>
      </x:c>
      <x:c r="I9" s="80" t="str">
        <x:v>Schedule 2 Part 2显示MITI</x:v>
      </x:c>
      <x:c r="J9" s="80" t="str">
        <x:v>CANDIDATE</x:v>
      </x:c>
      <x:c r="K9" s="80" t="str">
        <x:v>HS Explorer PDK 2025</x:v>
      </x:c>
      <x:c r="L9" s="80" t="str">
        <x:v>https://ezhs.customs.gov.my/</x:v>
      </x:c>
      <x:c r="M9" s="80" t="str">
        <x:v>GRI 2(a)为高风险</x:v>
      </x:c>
    </x:row>
    <x:row r="10" ht="66" customHeight="1">
      <x:c r="A10" s="80" t="str">
        <x:v>CCU-ROAD-WHEEL</x:v>
      </x:c>
      <x:c r="B10" s="80" t="str">
        <x:v>机动车道路车轮</x:v>
      </x:c>
      <x:c r="C10" s="80" t="str">
        <x:v>870870</x:v>
      </x:c>
      <x:c r="D10" s="80" t="str">
        <x:v>8708702200 / 8708703200</x:v>
      </x:c>
      <x:c r="E10" s="80" t="str">
        <x:v>完整车轮：带轮胎→2200；不带轮胎→3200</x:v>
      </x:c>
      <x:c r="F10" s="80" t="str">
        <x:v>8708701600轮毂罩；8708709700其他零件/附件</x:v>
      </x:c>
      <x:c r="G10" s="80" t="str">
        <x:v>30%</x:v>
      </x:c>
      <x:c r="H10" s="80" t="str">
        <x:v>10%</x:v>
      </x:c>
      <x:c r="I10" s="80" t="str">
        <x:v>两条有效候选监管页No Data</x:v>
      </x:c>
      <x:c r="J10" s="80" t="str">
        <x:v>VERIFIED条件映射</x:v>
      </x:c>
      <x:c r="K10" s="80" t="str">
        <x:v>PDF 1248-1249</x:v>
      </x:c>
      <x:c r="L10" s="80" t="str">
        <x:v>https://www.customs.gov.my/images/06-prosedur/perintah-kastam/perintah/PUA_384.pdf</x:v>
      </x:c>
      <x:c r="M10" s="80" t="str">
        <x:v>轮毂罩和附件需重新分配CCU</x:v>
      </x:c>
    </x:row>
    <x:row r="11" ht="66" customHeight="1">
      <x:c r="A11" s="80" t="str">
        <x:v>CCU-FOUNDATION-BRAKE</x:v>
      </x:c>
      <x:c r="B11" s="80" t="str">
        <x:v>车轮端基础制动器</x:v>
      </x:c>
      <x:c r="C11" s="80" t="str">
        <x:v>870830</x:v>
      </x:c>
      <x:c r="D11" s="80" t="str">
        <x:v>8708302100 / 8708302900</x:v>
      </x:c>
      <x:c r="E11" s="80" t="str">
        <x:v>盘/鼓/管→2100；其他基础制动器/零件→2900</x:v>
      </x:c>
      <x:c r="F11" s="80" t="str"/>
      <x:c r="G11" s="80" t="str">
        <x:v>30%</x:v>
      </x:c>
      <x:c r="H11" s="80" t="str">
        <x:v>10%</x:v>
      </x:c>
      <x:c r="I11" s="80" t="str">
        <x:v>8708302900显示替换制动件标准/认证要求</x:v>
      </x:c>
      <x:c r="J11" s="80" t="str">
        <x:v>CANDIDATE</x:v>
      </x:c>
      <x:c r="K11" s="80" t="str">
        <x:v>HS Explorer PDK 2025</x:v>
      </x:c>
      <x:c r="L11" s="80" t="str">
        <x:v>https://ezhs.customs.gov.my/</x:v>
      </x:c>
      <x:c r="M11" s="80" t="str">
        <x:v>OEM KD与replacement用途需确认</x:v>
      </x:c>
    </x:row>
    <x:row r="12" ht="66" customHeight="1">
      <x:c r="A12" s="80" t="str">
        <x:v>CCU-STEERING-GEAR-COLUMN</x:v>
      </x:c>
      <x:c r="B12" s="80" t="str">
        <x:v>转向器或转向柱总成</x:v>
      </x:c>
      <x:c r="C12" s="80" t="str">
        <x:v>870894</x:v>
      </x:c>
      <x:c r="D12" s="80" t="str">
        <x:v>8708949500</x:v>
      </x:c>
      <x:c r="E12" s="80" t="str">
        <x:v>8703车辆用，且为转向器/齿条/转向柱，不是带气囊方向盘</x:v>
      </x:c>
      <x:c r="F12" s="80" t="str">
        <x:v>87089411/19为带安全气囊方向盘组</x:v>
      </x:c>
      <x:c r="G12" s="80" t="str">
        <x:v>25%</x:v>
      </x:c>
      <x:c r="H12" s="80" t="str">
        <x:v>10%</x:v>
      </x:c>
      <x:c r="I12" s="80" t="str">
        <x:v>监管页No Data</x:v>
      </x:c>
      <x:c r="J12" s="80" t="str">
        <x:v>VERIFIED条件映射</x:v>
      </x:c>
      <x:c r="K12" s="80" t="str">
        <x:v>PDF 1251-1252</x:v>
      </x:c>
      <x:c r="L12" s="80" t="str">
        <x:v>https://www.customs.gov.my/images/06-prosedur/perintah-kastam/perintah/PUA_384.pdf</x:v>
      </x:c>
      <x:c r="M12" s="80" t="str">
        <x:v>集成电机/ECU需特定品目复核</x:v>
      </x:c>
    </x:row>
    <x:row r="13" ht="66" customHeight="1">
      <x:c r="A13" s="80" t="str">
        <x:v>CCU-SHOCK-ABSORBER-STRUT</x:v>
      </x:c>
      <x:c r="B13" s="80" t="str">
        <x:v>悬架减振器或支柱</x:v>
      </x:c>
      <x:c r="C13" s="80" t="str">
        <x:v>870880</x:v>
      </x:c>
      <x:c r="D13" s="80" t="str">
        <x:v>8708809200</x:v>
      </x:c>
      <x:c r="E13" s="80" t="str">
        <x:v>8703车辆用减振器、支柱或悬架零件</x:v>
      </x:c>
      <x:c r="F13" s="80" t="str">
        <x:v>8708801600为完整悬架系统</x:v>
      </x:c>
      <x:c r="G13" s="80" t="str">
        <x:v>30%</x:v>
      </x:c>
      <x:c r="H13" s="80" t="str">
        <x:v>10%</x:v>
      </x:c>
      <x:c r="I13" s="80" t="str">
        <x:v>监管页No Data</x:v>
      </x:c>
      <x:c r="J13" s="80" t="str">
        <x:v>VERIFIED条件映射</x:v>
      </x:c>
      <x:c r="K13" s="80" t="str">
        <x:v>PDF 1249-1250</x:v>
      </x:c>
      <x:c r="L13" s="80" t="str">
        <x:v>https://www.customs.gov.my/images/06-prosedur/perintah-kastam/perintah/PUA_384.pdf</x:v>
      </x:c>
      <x:c r="M13" s="80" t="str">
        <x:v>完整悬架系统应重新分配CCU</x:v>
      </x:c>
    </x:row>
  </x:sheetData>
  <x:mergeCells>
    <x:mergeCell ref="A1:M1"/>
    <x:mergeCell ref="A2:M2"/>
  </x:mergeCells>
  <x:conditionalFormatting sqref="J5:J13">
    <x:cfRule type="containsText" dxfId="3" priority="1" operator="containsText" text="VERIFIED"/>
    <x:cfRule type="containsText" dxfId="4" priority="2" operator="containsText" text="CANDIDATE"/>
  </x:conditionalFormatting>
  <x:pageMargins left="0.7" right="0.7" top="0.75" bottom="0.75" header="0.3" footer="0.3"/>
  <x:tableParts count="1">
    <x:tablePart xmlns:r="http://schemas.openxmlformats.org/officeDocument/2006/relationships" r:id="Re8e89dba18d541bb"/>
  </x:tableParts>
</x:worksheet>
</file>